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5805" yWindow="-210" windowWidth="17085" windowHeight="7590" activeTab="3"/>
  </bookViews>
  <sheets>
    <sheet name="M_JSYQ" sheetId="3" r:id="rId1"/>
    <sheet name="JSYQ" sheetId="1" r:id="rId2"/>
    <sheet name="说明" sheetId="2" r:id="rId3"/>
    <sheet name="输入界面" sheetId="4" r:id="rId4"/>
  </sheets>
  <definedNames>
    <definedName name="_xlnm.Print_Area" localSheetId="1">JSYQ!$B$1:$M$24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<sst xmlns="http://schemas.openxmlformats.org/spreadsheetml/2006/main" count="276" uniqueCount="220">
  <si>
    <t>序号</t>
    <phoneticPr fontId="1" type="noConversion"/>
  </si>
  <si>
    <t>技术要求内容</t>
    <phoneticPr fontId="1" type="noConversion"/>
  </si>
  <si>
    <t>介质特性</t>
    <phoneticPr fontId="1" type="noConversion"/>
  </si>
  <si>
    <t>容器类别</t>
  </si>
  <si>
    <t>复层材料</t>
    <phoneticPr fontId="1" type="noConversion"/>
  </si>
  <si>
    <t>基层材料</t>
    <phoneticPr fontId="1" type="noConversion"/>
  </si>
  <si>
    <t>复层材料</t>
    <phoneticPr fontId="1" type="noConversion"/>
  </si>
  <si>
    <t>用户界面获取</t>
    <phoneticPr fontId="1" type="noConversion"/>
  </si>
  <si>
    <t>获取方式</t>
    <phoneticPr fontId="1" type="noConversion"/>
  </si>
  <si>
    <t>px01</t>
    <phoneticPr fontId="1" type="noConversion"/>
  </si>
  <si>
    <t>px02</t>
    <phoneticPr fontId="1" type="noConversion"/>
  </si>
  <si>
    <t>px04</t>
    <phoneticPr fontId="1" type="noConversion"/>
  </si>
  <si>
    <t>px05</t>
    <phoneticPr fontId="1" type="noConversion"/>
  </si>
  <si>
    <t>px06</t>
    <phoneticPr fontId="1" type="noConversion"/>
  </si>
  <si>
    <t>px07</t>
    <phoneticPr fontId="1" type="noConversion"/>
  </si>
  <si>
    <t>px08</t>
    <phoneticPr fontId="1" type="noConversion"/>
  </si>
  <si>
    <t>px09</t>
    <phoneticPr fontId="1" type="noConversion"/>
  </si>
  <si>
    <t>px10</t>
    <phoneticPr fontId="1" type="noConversion"/>
  </si>
  <si>
    <t>px12</t>
    <phoneticPr fontId="1" type="noConversion"/>
  </si>
  <si>
    <t>px13</t>
    <phoneticPr fontId="1" type="noConversion"/>
  </si>
  <si>
    <t>px14</t>
    <phoneticPr fontId="1" type="noConversion"/>
  </si>
  <si>
    <t>px15</t>
    <phoneticPr fontId="1" type="noConversion"/>
  </si>
  <si>
    <t>px16</t>
    <phoneticPr fontId="1" type="noConversion"/>
  </si>
  <si>
    <t>px17</t>
    <phoneticPr fontId="1" type="noConversion"/>
  </si>
  <si>
    <t>px18</t>
    <phoneticPr fontId="1" type="noConversion"/>
  </si>
  <si>
    <t>px19</t>
    <phoneticPr fontId="1" type="noConversion"/>
  </si>
  <si>
    <t>px20</t>
    <phoneticPr fontId="1" type="noConversion"/>
  </si>
  <si>
    <t>自动获取</t>
    <phoneticPr fontId="1" type="noConversion"/>
  </si>
  <si>
    <t>受压腔类型:</t>
    <phoneticPr fontId="1" type="noConversion"/>
  </si>
  <si>
    <t>介质特性</t>
    <phoneticPr fontId="1" type="noConversion"/>
  </si>
  <si>
    <t>介质特性:</t>
    <phoneticPr fontId="1" type="noConversion"/>
  </si>
  <si>
    <t>设备壁厚</t>
    <phoneticPr fontId="1" type="noConversion"/>
  </si>
  <si>
    <t>设备直径</t>
    <phoneticPr fontId="1" type="noConversion"/>
  </si>
  <si>
    <t>自动获取</t>
    <phoneticPr fontId="1" type="noConversion"/>
  </si>
  <si>
    <t>=px16*0.7</t>
    <phoneticPr fontId="1" type="noConversion"/>
  </si>
  <si>
    <t>压力腔名称</t>
    <phoneticPr fontId="1" type="noConversion"/>
  </si>
  <si>
    <t>基材标准冲击温度</t>
    <phoneticPr fontId="1" type="noConversion"/>
  </si>
  <si>
    <t>基材标准冲击功kV2</t>
    <phoneticPr fontId="1" type="noConversion"/>
  </si>
  <si>
    <t>基材最低冲击功</t>
    <phoneticPr fontId="1" type="noConversion"/>
  </si>
  <si>
    <t>基材最低冲击温度</t>
    <phoneticPr fontId="1" type="noConversion"/>
  </si>
  <si>
    <t>备用</t>
    <phoneticPr fontId="1" type="noConversion"/>
  </si>
  <si>
    <t>设计温度1</t>
    <phoneticPr fontId="1" type="noConversion"/>
  </si>
  <si>
    <t>设计压力1</t>
    <phoneticPr fontId="1" type="noConversion"/>
  </si>
  <si>
    <t>设计温度2</t>
    <phoneticPr fontId="1" type="noConversion"/>
  </si>
  <si>
    <t>设计压力2</t>
    <phoneticPr fontId="1" type="noConversion"/>
  </si>
  <si>
    <t>受压腔类型</t>
    <phoneticPr fontId="1" type="noConversion"/>
  </si>
  <si>
    <t>塔体垂直度</t>
    <phoneticPr fontId="1" type="noConversion"/>
  </si>
  <si>
    <t>px21</t>
    <phoneticPr fontId="1" type="noConversion"/>
  </si>
  <si>
    <t>=px10*0.001(但不能大于30mm)</t>
    <phoneticPr fontId="1" type="noConversion"/>
  </si>
  <si>
    <t>=px08*0.002(但不能大于4mm)</t>
    <phoneticPr fontId="1" type="noConversion"/>
  </si>
  <si>
    <t>填料塔支撑栅平整度</t>
    <phoneticPr fontId="1" type="noConversion"/>
  </si>
  <si>
    <t>容器,塔器,壳程,储罐,料仓,管程,夹套,管板,U型管,换热管,球罐</t>
  </si>
  <si>
    <t>px22</t>
    <phoneticPr fontId="1" type="noConversion"/>
  </si>
  <si>
    <t>=px03*0.001(但不能大于10mm)</t>
    <phoneticPr fontId="1" type="noConversion"/>
  </si>
  <si>
    <t>球罐支柱直线度公差</t>
    <phoneticPr fontId="1" type="noConversion"/>
  </si>
  <si>
    <t>设备长度，球罐支柱长度</t>
    <phoneticPr fontId="1" type="noConversion"/>
  </si>
  <si>
    <t>px03</t>
    <phoneticPr fontId="1" type="noConversion"/>
  </si>
  <si>
    <t>塔器直线度</t>
    <phoneticPr fontId="1" type="noConversion"/>
  </si>
  <si>
    <t>=px09*0.001（L≤30m）
=px09*0.5/1000+15（L&gt;30m）</t>
    <phoneticPr fontId="1" type="noConversion"/>
  </si>
  <si>
    <t>容器,塔器,壳程,储罐,料仓,管程,夹套,管板,U型管,换热管,球罐</t>
    <phoneticPr fontId="1" type="noConversion"/>
  </si>
  <si>
    <t>▢晶间腐蚀 ▢氢腐蚀 ▢湿H2S ▢NH3</t>
    <phoneticPr fontId="1" type="noConversion"/>
  </si>
  <si>
    <t>无,易爆,中度危害,高度危害,极度危害</t>
    <phoneticPr fontId="1" type="noConversion"/>
  </si>
  <si>
    <t>▢易爆 ▢中度危害 ▢高度危害 ▢极度危害</t>
    <phoneticPr fontId="1" type="noConversion"/>
  </si>
  <si>
    <t>▢Ⅰ ▢Ⅱ ▢Ⅲ  ▢D1 ▢D2 ▢A1 ▢A2 ▢A3 ▢SAD</t>
    <phoneticPr fontId="1" type="noConversion"/>
  </si>
  <si>
    <t>T=设计温度 P=设计压力 D=直径 L=长度 C=壁厚</t>
    <phoneticPr fontId="1" type="noConversion"/>
  </si>
  <si>
    <t>技术要求调出条件</t>
    <phoneticPr fontId="1" type="noConversion"/>
  </si>
  <si>
    <t>备注</t>
    <phoneticPr fontId="1" type="noConversion"/>
  </si>
  <si>
    <t>&lt;  小于</t>
  </si>
  <si>
    <t>&lt;= 小于或等于</t>
  </si>
  <si>
    <t>&gt;  大于</t>
  </si>
  <si>
    <t>&gt;= 大于或等于</t>
  </si>
  <si>
    <t>== 等于</t>
  </si>
  <si>
    <t>!= 不等于</t>
  </si>
  <si>
    <t>and 布尔"与"</t>
  </si>
  <si>
    <t>or  布尔"或"</t>
  </si>
  <si>
    <t>not 布尔"非"</t>
  </si>
  <si>
    <t>()  括号，改变逻辑运算的优先级</t>
  </si>
  <si>
    <t>参数</t>
    <phoneticPr fontId="1" type="noConversion"/>
  </si>
  <si>
    <t>参数说明</t>
    <phoneticPr fontId="1" type="noConversion"/>
  </si>
  <si>
    <t>拟增加选项</t>
    <phoneticPr fontId="1" type="noConversion"/>
  </si>
  <si>
    <t>可使用的逻辑运算：</t>
    <phoneticPr fontId="1" type="noConversion"/>
  </si>
  <si>
    <t>设备受压元件所用S22053双相不锈钢的耐点蚀当量数(PRE)不应低于35，同时应按照ASTM A923-2014 C法进行三氯化铁腐蚀试验，试验温度不低于40°C，腐蚀速率不应超过10mdd。</t>
  </si>
  <si>
    <t>设备受压元件所用08Ni3D锻件应进行设计温度下的拉伸试验，其各项力学性能指标应满足NB/T 47009-2017中材料常温下的规定。</t>
  </si>
  <si>
    <t>容器,塔器,壳程,储罐,料仓,管程,夹套,管板，球罐</t>
    <phoneticPr fontId="1" type="noConversion"/>
  </si>
  <si>
    <t>容器,塔器,壳程,储罐,料仓,管程,夹套,管板，U型管,换热管,球罐</t>
    <phoneticPr fontId="1" type="noConversion"/>
  </si>
  <si>
    <t>容器,塔器,壳程,储罐,料仓,管程,夹套,管板，U型管,换热管,球罐</t>
    <phoneticPr fontId="1" type="noConversion"/>
  </si>
  <si>
    <t>设备受压元件所用双相不锈钢的耐点蚀当量数(PRE)不应低于29，铁素体相的比例控制在40%~60%，其焊接接头的铁素体相的比例应控制在35%~65%。</t>
  </si>
  <si>
    <t>设备受压元件所用双相不锈钢的耐点蚀当量数(PRE)不应低于26，铁素体相的比例控制在40%~60%，其焊接接头的铁素体相的比例应控制在35%~65%。</t>
  </si>
  <si>
    <t>容器,塔器,壳程,储罐,料仓,管程,夹套,管板，U型管,换热管,球罐</t>
    <phoneticPr fontId="1" type="noConversion"/>
  </si>
  <si>
    <t>设备受压元件所用双相不锈钢的耐点蚀当量数(PRE)不应低于35，铁素体相的比例控制在40%~60%，其焊接接头的铁素体相的比例应控制在35%~65%。</t>
  </si>
  <si>
    <t>设备受压元件所用双相不锈钢的耐点蚀当量数(PRE)不应低于31，铁素体相的比例控制在40%~60%，其焊接接头的铁素体相的比例应控制在35%~65%。</t>
  </si>
  <si>
    <t>设备受压元件所用双相不锈钢的耐点蚀当量数(PRE)不应低于40，铁素体相的比例控制在40%~60%，其焊接接头的铁素体相的比例应控制在35%~65%。</t>
  </si>
  <si>
    <t>0-18</t>
  </si>
  <si>
    <t>24,77,123</t>
    <phoneticPr fontId="1" type="noConversion"/>
  </si>
  <si>
    <t>24，77，123</t>
    <phoneticPr fontId="1" type="noConversion"/>
  </si>
  <si>
    <t>23，76，122</t>
    <phoneticPr fontId="1" type="noConversion"/>
  </si>
  <si>
    <t>S25073</t>
  </si>
  <si>
    <t>22,23,24,75-78,89-91,121,123</t>
    <phoneticPr fontId="1" type="noConversion"/>
  </si>
  <si>
    <t>22,23,24,75-78,89-91,121,123</t>
    <phoneticPr fontId="1" type="noConversion"/>
  </si>
  <si>
    <t>440&lt;T and T&lt;=620</t>
  </si>
  <si>
    <t>100&gt;=T and T&gt;20</t>
  </si>
  <si>
    <t>px11用px12钢板应符GB/T 713-2014《锅炉和压力容器用钢板》的规定，热轧或控轧状态下使用。</t>
    <phoneticPr fontId="1" type="noConversion"/>
  </si>
  <si>
    <t>0，1</t>
    <phoneticPr fontId="1" type="noConversion"/>
  </si>
  <si>
    <t>设备受压元件用钢板需增加一组1/2厚度处取样的冲击试验，冲击试验能量值与本材料的力学性能指标相同。</t>
    <phoneticPr fontId="1" type="noConversion"/>
  </si>
  <si>
    <t>设备受压元件用钢板需进行高温拉伸试验，在试验温度为x℃下的高温力学性能符合本材料的标准规定。</t>
    <phoneticPr fontId="1" type="noConversion"/>
  </si>
  <si>
    <t>设备受压元件用钢板应逐张按NB/T47013.3-2015进行超声检测，UT-I为合格</t>
    <phoneticPr fontId="1" type="noConversion"/>
  </si>
  <si>
    <t>选择条件</t>
    <phoneticPr fontId="1" type="noConversion"/>
  </si>
  <si>
    <t>X选项为-20/-30/-40/-50/-70℃。GB150.2表4中协议内容的需提出冲击。板材、锻件、管材应符合GB/TXX中的规定全部取消。</t>
    <phoneticPr fontId="1" type="noConversion"/>
  </si>
  <si>
    <t>材料要求</t>
    <phoneticPr fontId="1" type="noConversion"/>
  </si>
  <si>
    <t>本设备为临氢工况，设备受压元件用材料、焊接接头及其热影响区应进行-X℃的夏比（V型缺口）低温冲击试验。材料的冲击试验合格指标详见相应的材料标准；焊接接头及其热影响区的冲击试验合格指标同母材。</t>
    <phoneticPr fontId="1" type="noConversion"/>
  </si>
  <si>
    <t>大于20mm的高温工况.详见GB713中6.4.2条。GB150.2中4.1.10(需增加15CrMoR(H)、14Cr1MoR(H)、12Cr2Mo1R(H)).</t>
    <phoneticPr fontId="1" type="noConversion"/>
  </si>
  <si>
    <t>设备受压元件用每张热处理钢板需进行拉伸和V型缺口冲击试验，合格指标与本材料的力学性能指标相同。</t>
    <phoneticPr fontId="1" type="noConversion"/>
  </si>
  <si>
    <r>
      <t>复合钢板基层用板材应逐张按NB/T47013.3-2015进行超声检测，UT-I级合格。复合板覆层层材料不允许拼接。复合板超声检测的结合状态合格级别</t>
    </r>
    <r>
      <rPr>
        <sz val="12"/>
        <color rgb="FFFF0000"/>
        <rFont val="楷体"/>
        <family val="3"/>
        <charset val="134"/>
      </rPr>
      <t>I级</t>
    </r>
    <r>
      <rPr>
        <sz val="12"/>
        <color theme="1"/>
        <rFont val="楷体"/>
        <family val="3"/>
        <charset val="134"/>
      </rPr>
      <t>。</t>
    </r>
    <phoneticPr fontId="1" type="noConversion"/>
  </si>
  <si>
    <t>设备壳体用钢管由设备制造单位按HG/T20581-2020中表5.3.9进行力学性能复验。</t>
    <phoneticPr fontId="1" type="noConversion"/>
  </si>
  <si>
    <t>设备材料用钢管应逐根全长按GB/T 5777-2019进行超声波探伤，冷轧（拔）钢管对比试样的人工缺陷级别不得低于U2级，热轧（挤压）钢管对比试样的人工缺陷级别不得低于U2.5级</t>
    <phoneticPr fontId="1" type="noConversion"/>
  </si>
  <si>
    <t>设备材料用钢管应逐根全长按GB/T 5777-2019进行超声波探伤，冷轧（拔）钢管对比试样的人工缺陷级别不得低于U2级.</t>
    <phoneticPr fontId="1" type="noConversion"/>
  </si>
  <si>
    <t>钢管做壳体的设备（HG/T20581-2020中表5.3.9）</t>
    <phoneticPr fontId="1" type="noConversion"/>
  </si>
  <si>
    <t>调质、多层内容、＞60mm；内筒钢板。（GB/T150.2 第4.1.6）</t>
    <phoneticPr fontId="1" type="noConversion"/>
  </si>
  <si>
    <t>复合板塔器及1.6MPa以上容器、真空、热成型封头、高压等，（HG/T20581-2020中5.2.1）。</t>
    <phoneticPr fontId="1" type="noConversion"/>
  </si>
  <si>
    <t>合格级别符合GB150.2表3及修改单的要求。</t>
    <phoneticPr fontId="1" type="noConversion"/>
  </si>
  <si>
    <t>适合于大于36mm调质、大于80mm正火、正火+回火的钢板。（GB/T150.2 第4.1.6）</t>
    <phoneticPr fontId="1" type="noConversion"/>
  </si>
  <si>
    <t>设备受压元件所用Cr-Mo钢板应符合HG/T20581-2020中5.1.5条的相关规定。</t>
    <phoneticPr fontId="1" type="noConversion"/>
  </si>
  <si>
    <t>设计温度≤440℃。（HG/T20581-2020中5.1.5）</t>
    <phoneticPr fontId="1" type="noConversion"/>
  </si>
  <si>
    <t>设备受压元件所用Cr-Mo钢板应符合HG/T20581-2020中5.1.6条的相关规定。</t>
    <phoneticPr fontId="1" type="noConversion"/>
  </si>
  <si>
    <t>设计温度620℃≤T≤440℃。（HG/T20581-2020中5.1.6）</t>
    <phoneticPr fontId="1" type="noConversion"/>
  </si>
  <si>
    <t>采用GB6479管材，设计压力≥10MPa；（HG/T20581-2020 5.3.7）</t>
    <phoneticPr fontId="1" type="noConversion"/>
  </si>
  <si>
    <t>采用GB6479管材，高压、应力腐蚀、CrMo换热器用换热管（HG/T20581-2020 5.3.7,热轧和挤压管不用）</t>
    <phoneticPr fontId="1" type="noConversion"/>
  </si>
  <si>
    <t>管材</t>
    <phoneticPr fontId="1" type="noConversion"/>
  </si>
  <si>
    <t>板材</t>
    <phoneticPr fontId="1" type="noConversion"/>
  </si>
  <si>
    <t>板材、焊接接头及热影响区</t>
  </si>
  <si>
    <t>板材、焊接接头及热影响区</t>
    <phoneticPr fontId="1" type="noConversion"/>
  </si>
  <si>
    <t>复合板</t>
    <phoneticPr fontId="1" type="noConversion"/>
  </si>
  <si>
    <t>壳体管材</t>
    <phoneticPr fontId="1" type="noConversion"/>
  </si>
  <si>
    <t>抗拉强度大于540MPa,低温钢板（≤-40℃）（GB/T150.2 第4.1.7）（GB713-2014 6.4.4）</t>
    <phoneticPr fontId="1" type="noConversion"/>
  </si>
  <si>
    <t>板材</t>
    <phoneticPr fontId="1" type="noConversion"/>
  </si>
  <si>
    <t>适用于15CrMoR(H)、14Cr1MoR(H)、12Cr2Mo1R(H)、12Cr2Mo1VR(H）材料的设备，X按GB/T35012-2018中表6选取。（GB/T35012-2018中表6/GB713-2014 6.8条）</t>
    <phoneticPr fontId="1" type="noConversion"/>
  </si>
  <si>
    <t>12Cr2Mo1R(H)、12Cr2Mo1VR(H）（GB/T35012-2018中6.8条）</t>
    <phoneticPr fontId="1" type="noConversion"/>
  </si>
  <si>
    <r>
      <t>本设备为临氢工况，设备受压元件用</t>
    </r>
    <r>
      <rPr>
        <sz val="11"/>
        <color rgb="FFFF0000"/>
        <rFont val="楷体"/>
        <family val="3"/>
        <charset val="134"/>
      </rPr>
      <t>板材</t>
    </r>
    <r>
      <rPr>
        <sz val="11"/>
        <rFont val="楷体"/>
        <family val="3"/>
        <charset val="134"/>
      </rPr>
      <t>应按GB/T35012-2018中附录B进行步冷试验。</t>
    </r>
    <phoneticPr fontId="1" type="noConversion"/>
  </si>
  <si>
    <t>锻件</t>
    <phoneticPr fontId="1" type="noConversion"/>
  </si>
  <si>
    <r>
      <t>设备受压元件用钢板需按GB/T6803-2008进行落锤试验，采用P-2型试样，无塑性转变温度</t>
    </r>
    <r>
      <rPr>
        <sz val="11"/>
        <color rgb="FFFF0000"/>
        <rFont val="楷体"/>
        <family val="3"/>
        <charset val="134"/>
      </rPr>
      <t>不得低于所选材料的使用温度下限温度减10℃</t>
    </r>
    <r>
      <rPr>
        <sz val="11"/>
        <rFont val="楷体"/>
        <family val="3"/>
        <charset val="134"/>
      </rPr>
      <t>。</t>
    </r>
    <phoneticPr fontId="1" type="noConversion"/>
  </si>
  <si>
    <t>板材、锻件、管材</t>
    <phoneticPr fontId="1" type="noConversion"/>
  </si>
  <si>
    <t>本设备为I类湿硫化氢腐蚀环境，设备的材料、制造及检验等应符合SH/T3193-2017中的相关规定。</t>
    <phoneticPr fontId="1" type="noConversion"/>
  </si>
  <si>
    <t>湿硫化氢腐蚀环境</t>
    <phoneticPr fontId="1" type="noConversion"/>
  </si>
  <si>
    <t>湿硫化氢腐蚀环境</t>
    <phoneticPr fontId="1" type="noConversion"/>
  </si>
  <si>
    <t>液氨应力腐蚀环境</t>
    <phoneticPr fontId="1" type="noConversion"/>
  </si>
  <si>
    <t>本设备为II类湿硫化氢腐蚀环境，设备的材料、制造及检验等应符合SH/T3193-2017中的相关规定。</t>
    <phoneticPr fontId="1" type="noConversion"/>
  </si>
  <si>
    <t>本设备按液氨应力腐蚀环境设计，设备的选材、加工制造等应符合HG/T20581-2020种6.8.5款的规定。</t>
    <phoneticPr fontId="1" type="noConversion"/>
  </si>
  <si>
    <t>材料</t>
    <phoneticPr fontId="1" type="noConversion"/>
  </si>
  <si>
    <t>设备制造单位需按相应的锻件标准进行力学性能复验，复验合格方可投料应用。</t>
    <phoneticPr fontId="1" type="noConversion"/>
  </si>
  <si>
    <t>境外牌号材料；HG/T20581-2020,3.0.5条、TSG21-2016中2.1.2条</t>
    <phoneticPr fontId="1" type="noConversion"/>
  </si>
  <si>
    <t>设备受压元件材料应符合TSG21-2016中境外牌号的使用规定，并按照TSG21-2016中2.1.2条进行复验，复验合格方可投料应用。</t>
    <phoneticPr fontId="1" type="noConversion"/>
  </si>
  <si>
    <t>管材</t>
    <phoneticPr fontId="1" type="noConversion"/>
  </si>
  <si>
    <t>III类压力容器的VI锻件</t>
    <phoneticPr fontId="1" type="noConversion"/>
  </si>
  <si>
    <t>湿硫化氢腐蚀环境，GB9948-2013 第6.12条</t>
    <phoneticPr fontId="1" type="noConversion"/>
  </si>
  <si>
    <t>低温压力容器（HG/T205805第6.2.2条）</t>
    <phoneticPr fontId="1" type="noConversion"/>
  </si>
  <si>
    <t>设备受压元件用材料、焊接接头及其热影响区应进行-X℃的夏比（V型缺口）低温冲击试验。材料的冲击试验合格指标符合相应的材料标准；焊接接头及其热影响区的冲击试验合格指标同母材。</t>
    <phoneticPr fontId="1" type="noConversion"/>
  </si>
  <si>
    <t>设备受压元件用钢板应由设备制造单位按照HG/T20585-2020中6.2.2条复验钢材的低温冲击韧性，合格指标符合相应的材料标准。</t>
    <phoneticPr fontId="1" type="noConversion"/>
  </si>
  <si>
    <t>焊接材料</t>
    <phoneticPr fontId="1" type="noConversion"/>
  </si>
  <si>
    <t>低温压力容器。II/III类压力容器、球罐、分析设计</t>
    <phoneticPr fontId="1" type="noConversion"/>
  </si>
  <si>
    <t>30CrMoA、35CrMoA、40CrNiMoA螺柱，GB150.2-2011中7.1.4条</t>
    <phoneticPr fontId="1" type="noConversion"/>
  </si>
  <si>
    <t>设备所用紧固件棒材的化学成分(熔炼分析)及冲击试验应符合GB/T150.2-2011中第7章中的相关规定，冲击吸收能量满足表14中的要求。</t>
    <phoneticPr fontId="1" type="noConversion"/>
  </si>
  <si>
    <t>设备制造过程中的焊前预热、层间温度、层间表面检测、消氢处理及相应的检测，由设备制造厂焊接工艺确定。所有焊接工艺规程均需焊接工艺评定。</t>
    <phoneticPr fontId="1" type="noConversion"/>
  </si>
  <si>
    <t>设备的焊缝表面不得有咬边。对接接头应磨平焊缝余高。受压元件角形焊缝应圆滑过渡，过渡圆角≥8mm。内齐平接管内径边角处应倒圆R5~10。</t>
    <phoneticPr fontId="1" type="noConversion"/>
  </si>
  <si>
    <t>本设备需按GB/T 150.4-2011中第9条的规定制备产品焊接试件,焊接试样的检验与评定按NB/T 47016-2011的要求进行，合格指标同母材。</t>
    <phoneticPr fontId="1" type="noConversion"/>
  </si>
  <si>
    <t>低温、疲劳容器</t>
    <phoneticPr fontId="1" type="noConversion"/>
  </si>
  <si>
    <t>Cr-Mo刚制压力容器</t>
    <phoneticPr fontId="1" type="noConversion"/>
  </si>
  <si>
    <t>液位计管口及其本设备的尺寸公差应满足HG/T20584-2011《钢制化工容器制造技术要求》的规定。</t>
    <phoneticPr fontId="1" type="noConversion"/>
  </si>
  <si>
    <t>螺柱应逐根按NB/T 47013.4-2015进行磁粉检测,MT-Ⅰ级为合格.</t>
    <phoneticPr fontId="1" type="noConversion"/>
  </si>
  <si>
    <t>M36以上30CrMoA、35CrMoA、40CrNiMoA紧固件</t>
    <phoneticPr fontId="1" type="noConversion"/>
  </si>
  <si>
    <t>螺柱应逐根按NB/T 47013.5-2015进行渗透检测,PT-Ⅰ级为合格.</t>
    <phoneticPr fontId="1" type="noConversion"/>
  </si>
  <si>
    <t>紧固件</t>
    <phoneticPr fontId="1" type="noConversion"/>
  </si>
  <si>
    <t>紧固件</t>
    <phoneticPr fontId="1" type="noConversion"/>
  </si>
  <si>
    <t>M36以上不锈钢、镍基紧固件</t>
    <phoneticPr fontId="1" type="noConversion"/>
  </si>
  <si>
    <t>板材</t>
    <phoneticPr fontId="1" type="noConversion"/>
  </si>
  <si>
    <t>设备焊接材料采用低氢型焊条，每批焊条按照GB/T 3965-2012中水银法进行扩散氢含量复验，扩散氢含量≤7ml/100g合格。</t>
    <phoneticPr fontId="1" type="noConversion"/>
  </si>
  <si>
    <t>设备受压元件用管材应符合GB/T9948-2013及附录B中的相关规定。（GB6479-2013未规定H2S腐蚀环境，GB647用于H2S腐蚀环境归属于序号5/6条）。</t>
    <phoneticPr fontId="1" type="noConversion"/>
  </si>
  <si>
    <t>常压容器,压力容器,换热器,塔器,夹套容器,大型储罐,球罐,疲劳容器,</t>
    <phoneticPr fontId="1" type="noConversion"/>
  </si>
  <si>
    <t>设备类型</t>
    <phoneticPr fontId="1" type="noConversion"/>
  </si>
  <si>
    <t>容器,壳程,管程,外夹套,外伴管,内伴管,内浮头,组合件</t>
    <phoneticPr fontId="1" type="noConversion"/>
  </si>
  <si>
    <t>--,Ⅰ/D1,Ⅱ/D2,Ⅲ/A1,Ⅲ/A2,Ⅲ/A3,Ⅱ/A3,Ⅰ/A3,Ⅱ/A1,Ⅰ/SAD,Ⅱ/SAD,Ⅲ/SAD</t>
    <phoneticPr fontId="1" type="noConversion"/>
  </si>
  <si>
    <t>腐蚀性质</t>
    <phoneticPr fontId="1" type="noConversion"/>
  </si>
  <si>
    <t>晶间腐蚀,氢腐蚀,湿H2S腐蚀,严重湿H2S腐蚀,NH3腐蚀</t>
    <phoneticPr fontId="1" type="noConversion"/>
  </si>
  <si>
    <t>易燃,易爆,中度危害,高度危害,极度危害</t>
    <phoneticPr fontId="1" type="noConversion"/>
  </si>
  <si>
    <t>受压元件</t>
    <phoneticPr fontId="1" type="noConversion"/>
  </si>
  <si>
    <t>材料标准</t>
    <phoneticPr fontId="1" type="noConversion"/>
  </si>
  <si>
    <t>材料牌号</t>
    <phoneticPr fontId="1" type="noConversion"/>
  </si>
  <si>
    <t>热处理状态</t>
    <phoneticPr fontId="1" type="noConversion"/>
  </si>
  <si>
    <t>附加要求</t>
    <phoneticPr fontId="1" type="noConversion"/>
  </si>
  <si>
    <t>px11</t>
    <phoneticPr fontId="1" type="noConversion"/>
  </si>
  <si>
    <t>退火</t>
    <phoneticPr fontId="1" type="noConversion"/>
  </si>
  <si>
    <t>材料</t>
    <phoneticPr fontId="1" type="noConversion"/>
  </si>
  <si>
    <t>固溶</t>
    <phoneticPr fontId="1" type="noConversion"/>
  </si>
  <si>
    <t>热轧</t>
    <phoneticPr fontId="1" type="noConversion"/>
  </si>
  <si>
    <t>正火</t>
    <phoneticPr fontId="1" type="noConversion"/>
  </si>
  <si>
    <t>正火+回火</t>
    <phoneticPr fontId="1" type="noConversion"/>
  </si>
  <si>
    <t>易燃,易爆,中度危害,高度危害,极度危害</t>
    <phoneticPr fontId="1" type="noConversion"/>
  </si>
  <si>
    <t>正火</t>
    <phoneticPr fontId="1" type="noConversion"/>
  </si>
  <si>
    <t>39-45</t>
    <phoneticPr fontId="1" type="noConversion"/>
  </si>
  <si>
    <t>39，40</t>
    <phoneticPr fontId="1" type="noConversion"/>
  </si>
  <si>
    <t>46-49</t>
    <phoneticPr fontId="1" type="noConversion"/>
  </si>
  <si>
    <t>C&gt;20</t>
    <phoneticPr fontId="1" type="noConversion"/>
  </si>
  <si>
    <t>淬火+回火</t>
    <phoneticPr fontId="1" type="noConversion"/>
  </si>
  <si>
    <t>C&gt;31</t>
    <phoneticPr fontId="1" type="noConversion"/>
  </si>
  <si>
    <t>19-21, 143-171</t>
    <phoneticPr fontId="1" type="noConversion"/>
  </si>
  <si>
    <t>22-35, 56-91, 112-124</t>
    <phoneticPr fontId="1" type="noConversion"/>
  </si>
  <si>
    <t>0-2</t>
    <phoneticPr fontId="1" type="noConversion"/>
  </si>
  <si>
    <t>3-8</t>
    <phoneticPr fontId="1" type="noConversion"/>
  </si>
  <si>
    <t>36-38</t>
    <phoneticPr fontId="1" type="noConversion"/>
  </si>
  <si>
    <t>C&lt;=20</t>
    <phoneticPr fontId="1" type="noConversion"/>
  </si>
  <si>
    <t>C&lt;=30</t>
    <phoneticPr fontId="1" type="noConversion"/>
  </si>
  <si>
    <t>0,1</t>
    <phoneticPr fontId="1" type="noConversion"/>
  </si>
  <si>
    <t>调质</t>
    <phoneticPr fontId="1" type="noConversion"/>
  </si>
  <si>
    <t>9-13</t>
    <phoneticPr fontId="1" type="noConversion"/>
  </si>
  <si>
    <t>14</t>
    <phoneticPr fontId="1" type="noConversion"/>
  </si>
  <si>
    <t>15-18</t>
    <phoneticPr fontId="1" type="noConversion"/>
  </si>
  <si>
    <t>2,52-54</t>
    <phoneticPr fontId="1" type="noConversion"/>
  </si>
  <si>
    <t>92-94</t>
    <phoneticPr fontId="1" type="noConversion"/>
  </si>
  <si>
    <t>95-111</t>
    <phoneticPr fontId="1" type="noConversion"/>
  </si>
  <si>
    <t>调出条件</t>
    <phoneticPr fontId="1" type="noConversion"/>
  </si>
  <si>
    <t>设备受压元件所用07MnMoVR板材应符合GB/T 19198-2011中的规定，并在调质状态下使用。板材应进行常温拉伸试验。板材及其焊接接头(包括焊缝金属与热影响区)应进行-20°C的V型缺口冲击试验，3个标准试样的冲击吸收能量平均值KV2＞=80J，其中允许1个试样的冲击吸收能量值小于80J，但不得小于56J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</si>
</sst>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宋体"/>
      <family val="3"/>
      <charset val="134"/>
    </font>
    <font>
      <sz val="12"/>
      <name val="楷体"/>
      <family val="3"/>
      <charset val="134"/>
    </font>
    <font>
      <sz val="11"/>
      <name val="楷体"/>
      <family val="3"/>
      <charset val="134"/>
    </font>
    <font>
      <sz val="12"/>
      <color rgb="FFFF0000"/>
      <name val="楷体"/>
      <family val="3"/>
      <charset val="134"/>
    </font>
    <font>
      <sz val="12"/>
      <color theme="1"/>
      <name val="楷体"/>
      <family val="3"/>
      <charset val="134"/>
    </font>
    <font>
      <sz val="11"/>
      <color rgb="FFFF0000"/>
      <name val="楷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 shrinkToFi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58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276225</xdr:colOff>
          <xdr:row>12</xdr:row>
          <xdr:rowOff>171450</xdr:rowOff>
        </xdr:from>
        <xdr:to>
          <xdr:col>1</xdr:col>
          <xdr:colOff>1381125</xdr:colOff>
          <xdr:row>14</xdr:row>
          <xdr:rowOff>133350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按钮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J28"/>
  <sheetViews>
    <sheetView workbookViewId="0">
      <selection activeCell="F3" sqref="F3"/>
    </sheetView>
  </sheetViews>
  <sheetFormatPr defaultRowHeight="14.25" x14ac:dyDescent="0.2"/>
  <cols>
    <col min="2" max="2" width="12.125" customWidth="1"/>
    <col min="3" max="3" width="28.5" customWidth="1"/>
    <col min="4" max="4" width="22.875" customWidth="1"/>
    <col min="5" max="5" width="20.25" customWidth="1"/>
    <col min="6" max="6" width="24.125" customWidth="1"/>
    <col min="9" max="9" width="19.5" customWidth="1"/>
  </cols>
  <sheetData>
    <row r="2" spans="2:10" ht="15" x14ac:dyDescent="0.2">
      <c r="B2" s="59" t="s">
        <v>183</v>
      </c>
      <c r="C2" s="59" t="s">
        <v>184</v>
      </c>
      <c r="D2" s="59" t="s">
        <v>185</v>
      </c>
      <c r="E2" s="59" t="s">
        <v>186</v>
      </c>
      <c r="F2" s="59" t="s">
        <v>187</v>
      </c>
    </row>
    <row r="3" spans="2:10" ht="15" x14ac:dyDescent="0.2">
      <c r="B3" s="59"/>
      <c r="C3" s="59"/>
      <c r="D3" s="59"/>
      <c r="E3" s="59"/>
      <c r="F3" s="59"/>
    </row>
    <row r="5" spans="2:10" x14ac:dyDescent="0.2">
      <c r="B5" s="70" t="s">
        <v>177</v>
      </c>
      <c r="C5" s="69" t="s">
        <v>45</v>
      </c>
      <c r="D5" s="70" t="s">
        <v>180</v>
      </c>
      <c r="E5" s="72" t="s">
        <v>2</v>
      </c>
      <c r="F5" s="73" t="s">
        <v>3</v>
      </c>
      <c r="G5" s="74" t="s">
        <v>5</v>
      </c>
      <c r="H5" s="69" t="s">
        <v>4</v>
      </c>
      <c r="I5" s="56" t="s">
        <v>65</v>
      </c>
      <c r="J5" s="28"/>
    </row>
    <row r="6" spans="2:10" ht="52.5" customHeight="1" x14ac:dyDescent="0.2">
      <c r="B6" s="71"/>
      <c r="C6" s="69"/>
      <c r="D6" s="71"/>
      <c r="E6" s="72"/>
      <c r="F6" s="73"/>
      <c r="G6" s="74"/>
      <c r="H6" s="69"/>
      <c r="I6" s="56" t="s">
        <v>64</v>
      </c>
      <c r="J6" s="58" t="s">
        <v>66</v>
      </c>
    </row>
    <row r="7" spans="2:10" ht="85.5" x14ac:dyDescent="0.2">
      <c r="B7" s="35" t="s">
        <v>176</v>
      </c>
      <c r="C7" s="56" t="s">
        <v>178</v>
      </c>
      <c r="D7" s="56" t="s">
        <v>181</v>
      </c>
      <c r="E7" s="56" t="s">
        <v>195</v>
      </c>
      <c r="F7" s="55" t="s">
        <v>179</v>
      </c>
      <c r="G7" s="57" t="s">
        <v>102</v>
      </c>
      <c r="H7" s="56"/>
      <c r="I7" s="58"/>
      <c r="J7" s="58"/>
    </row>
    <row r="9" spans="2:10" x14ac:dyDescent="0.2">
      <c r="B9">
        <v>18</v>
      </c>
      <c r="C9">
        <v>3</v>
      </c>
    </row>
    <row r="10" spans="2:10" ht="14.1" customHeight="1" x14ac:dyDescent="0.2">
      <c r="B10" s="60" t="s">
        <v>186</v>
      </c>
      <c r="C10" s="1" t="s">
        <v>190</v>
      </c>
      <c r="D10" s="1" t="s">
        <v>218</v>
      </c>
    </row>
    <row r="11" spans="2:10" ht="14.1" customHeight="1" x14ac:dyDescent="0.2">
      <c r="B11" s="1" t="s">
        <v>189</v>
      </c>
      <c r="C11" s="22" t="s">
        <v>203</v>
      </c>
      <c r="D11" s="22"/>
    </row>
    <row r="12" spans="2:10" ht="14.1" customHeight="1" x14ac:dyDescent="0.2">
      <c r="B12" s="1" t="s">
        <v>191</v>
      </c>
      <c r="C12" s="22" t="s">
        <v>204</v>
      </c>
      <c r="D12" s="1"/>
    </row>
    <row r="13" spans="2:10" ht="14.1" customHeight="1" x14ac:dyDescent="0.2">
      <c r="B13" s="1" t="s">
        <v>192</v>
      </c>
      <c r="C13" s="1" t="s">
        <v>210</v>
      </c>
      <c r="D13" s="22" t="s">
        <v>208</v>
      </c>
    </row>
    <row r="14" spans="2:10" ht="14.1" customHeight="1" x14ac:dyDescent="0.2">
      <c r="B14" s="1" t="s">
        <v>193</v>
      </c>
      <c r="C14" s="22" t="s">
        <v>205</v>
      </c>
      <c r="D14" s="22" t="s">
        <v>200</v>
      </c>
    </row>
    <row r="15" spans="2:10" ht="14.1" customHeight="1" x14ac:dyDescent="0.2">
      <c r="B15" s="1" t="s">
        <v>193</v>
      </c>
      <c r="C15" s="22" t="s">
        <v>215</v>
      </c>
      <c r="D15" s="22"/>
    </row>
    <row r="16" spans="2:10" ht="14.1" customHeight="1" x14ac:dyDescent="0.2">
      <c r="B16" s="1" t="s">
        <v>194</v>
      </c>
      <c r="C16" s="66" t="s">
        <v>206</v>
      </c>
      <c r="D16" s="22"/>
    </row>
    <row r="17" spans="2:4" ht="14.1" customHeight="1" x14ac:dyDescent="0.2">
      <c r="B17" s="1" t="s">
        <v>194</v>
      </c>
      <c r="C17" s="66" t="s">
        <v>212</v>
      </c>
      <c r="D17" s="22"/>
    </row>
    <row r="18" spans="2:4" ht="14.1" customHeight="1" x14ac:dyDescent="0.2">
      <c r="B18" s="2" t="s">
        <v>201</v>
      </c>
      <c r="C18" s="66" t="s">
        <v>213</v>
      </c>
      <c r="D18" s="22"/>
    </row>
    <row r="19" spans="2:4" ht="14.1" customHeight="1" x14ac:dyDescent="0.2">
      <c r="B19" s="2" t="s">
        <v>211</v>
      </c>
      <c r="C19" s="66" t="s">
        <v>214</v>
      </c>
      <c r="D19" s="22"/>
    </row>
    <row r="20" spans="2:4" ht="14.1" customHeight="1" x14ac:dyDescent="0.2">
      <c r="B20" s="1" t="s">
        <v>192</v>
      </c>
      <c r="C20" s="67" t="s">
        <v>207</v>
      </c>
      <c r="D20" s="22"/>
    </row>
    <row r="21" spans="2:4" ht="14.1" customHeight="1" x14ac:dyDescent="0.2">
      <c r="B21" s="1" t="s">
        <v>196</v>
      </c>
      <c r="C21" s="22" t="s">
        <v>198</v>
      </c>
      <c r="D21" s="22"/>
    </row>
    <row r="22" spans="2:4" ht="14.1" customHeight="1" x14ac:dyDescent="0.2">
      <c r="B22" s="1" t="s">
        <v>194</v>
      </c>
      <c r="C22" s="1" t="s">
        <v>197</v>
      </c>
      <c r="D22" s="22"/>
    </row>
    <row r="23" spans="2:4" ht="14.1" customHeight="1" x14ac:dyDescent="0.2">
      <c r="B23" s="1" t="s">
        <v>196</v>
      </c>
      <c r="C23" s="1" t="s">
        <v>199</v>
      </c>
      <c r="D23" s="22"/>
    </row>
    <row r="24" spans="2:4" ht="14.1" customHeight="1" x14ac:dyDescent="0.2">
      <c r="B24" s="1" t="s">
        <v>194</v>
      </c>
      <c r="C24" s="1">
        <v>50</v>
      </c>
      <c r="D24" s="22" t="s">
        <v>209</v>
      </c>
    </row>
    <row r="25" spans="2:4" ht="14.1" customHeight="1" x14ac:dyDescent="0.2">
      <c r="B25" s="2" t="s">
        <v>201</v>
      </c>
      <c r="C25" s="1">
        <v>50</v>
      </c>
      <c r="D25" s="22" t="s">
        <v>202</v>
      </c>
    </row>
    <row r="26" spans="2:4" x14ac:dyDescent="0.2">
      <c r="B26" s="1" t="s">
        <v>194</v>
      </c>
      <c r="C26" s="2">
        <v>51</v>
      </c>
      <c r="D26" s="68"/>
    </row>
    <row r="27" spans="2:4" x14ac:dyDescent="0.2">
      <c r="B27" s="1" t="s">
        <v>194</v>
      </c>
      <c r="C27" s="2" t="s">
        <v>216</v>
      </c>
      <c r="D27" s="68"/>
    </row>
    <row r="28" spans="2:4" x14ac:dyDescent="0.2">
      <c r="B28" s="2" t="s">
        <v>201</v>
      </c>
      <c r="C28" s="2" t="s">
        <v>217</v>
      </c>
      <c r="D28" s="68"/>
    </row>
  </sheetData>
  <mergeCells count="7">
    <mergeCell ref="H5:H6"/>
    <mergeCell ref="B5:B6"/>
    <mergeCell ref="C5:C6"/>
    <mergeCell ref="D5:D6"/>
    <mergeCell ref="E5:E6"/>
    <mergeCell ref="F5:F6"/>
    <mergeCell ref="G5:G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R47"/>
  <sheetViews>
    <sheetView zoomScale="70" zoomScaleNormal="70" workbookViewId="0">
      <pane ySplit="3" topLeftCell="A4" activePane="bottomLeft" state="frozen"/>
      <selection pane="bottomLeft" activeCell="F10" sqref="F10"/>
    </sheetView>
  </sheetViews>
  <sheetFormatPr defaultRowHeight="15" customHeight="1" x14ac:dyDescent="0.2"/>
  <cols>
    <col min="1" max="1" width="6.875" style="4" customWidth="1"/>
    <col min="2" max="2" width="7.25" style="5" customWidth="1"/>
    <col min="3" max="3" width="80.125" style="5" customWidth="1"/>
    <col min="4" max="4" width="42.625" style="5" customWidth="1"/>
    <col min="5" max="5" width="40.375" style="5" customWidth="1"/>
    <col min="6" max="6" width="20.5" style="5" customWidth="1"/>
    <col min="7" max="7" width="12.5" style="5" customWidth="1"/>
    <col min="8" max="8" width="11.75" style="5" customWidth="1"/>
    <col min="9" max="9" width="17.625" style="5" customWidth="1"/>
    <col min="10" max="10" width="17.625" style="26" customWidth="1"/>
    <col min="11" max="11" width="10.125" style="5" customWidth="1"/>
    <col min="12" max="12" width="48.75" style="5" customWidth="1"/>
    <col min="13" max="13" width="23.5" style="5" customWidth="1"/>
    <col min="14" max="14" width="10.625" style="5" customWidth="1"/>
    <col min="15" max="17" width="10.625" style="4" customWidth="1"/>
    <col min="18" max="16384" width="9" style="4"/>
  </cols>
  <sheetData>
    <row r="1" spans="1:16" ht="16.5" customHeight="1" x14ac:dyDescent="0.2">
      <c r="B1" s="20">
        <f>COUNT(B22:B45)</f>
        <v>23</v>
      </c>
      <c r="C1" s="20">
        <v>8</v>
      </c>
      <c r="D1" s="20"/>
      <c r="E1" s="20">
        <v>1</v>
      </c>
      <c r="F1" s="20">
        <v>2</v>
      </c>
      <c r="G1" s="20">
        <v>3</v>
      </c>
      <c r="H1" s="20">
        <v>4</v>
      </c>
      <c r="I1" s="20">
        <v>5</v>
      </c>
      <c r="J1" s="20">
        <v>6</v>
      </c>
      <c r="K1" s="20">
        <v>7</v>
      </c>
      <c r="L1" s="20">
        <v>8</v>
      </c>
      <c r="M1" s="20">
        <v>9</v>
      </c>
      <c r="N1" s="8"/>
      <c r="O1" s="8"/>
      <c r="P1" s="9"/>
    </row>
    <row r="2" spans="1:16" ht="15" customHeight="1" x14ac:dyDescent="0.2">
      <c r="B2" s="69" t="s">
        <v>0</v>
      </c>
      <c r="C2" s="69" t="s">
        <v>1</v>
      </c>
      <c r="D2" s="70" t="s">
        <v>106</v>
      </c>
      <c r="E2" s="70" t="s">
        <v>177</v>
      </c>
      <c r="F2" s="69" t="s">
        <v>45</v>
      </c>
      <c r="G2" s="70" t="s">
        <v>180</v>
      </c>
      <c r="H2" s="72" t="s">
        <v>29</v>
      </c>
      <c r="I2" s="73" t="s">
        <v>3</v>
      </c>
      <c r="J2" s="74" t="s">
        <v>5</v>
      </c>
      <c r="K2" s="69" t="s">
        <v>6</v>
      </c>
      <c r="L2" s="27" t="s">
        <v>65</v>
      </c>
      <c r="M2" s="28"/>
      <c r="N2" s="8"/>
      <c r="O2" s="8"/>
      <c r="P2" s="9"/>
    </row>
    <row r="3" spans="1:16" ht="15" customHeight="1" x14ac:dyDescent="0.2">
      <c r="B3" s="69"/>
      <c r="C3" s="69"/>
      <c r="D3" s="71"/>
      <c r="E3" s="71"/>
      <c r="F3" s="69"/>
      <c r="G3" s="71"/>
      <c r="H3" s="72"/>
      <c r="I3" s="73"/>
      <c r="J3" s="74"/>
      <c r="K3" s="69"/>
      <c r="L3" s="29" t="s">
        <v>64</v>
      </c>
      <c r="M3" s="29" t="s">
        <v>66</v>
      </c>
      <c r="N3" s="8"/>
      <c r="O3" s="8"/>
      <c r="P3" s="9"/>
    </row>
    <row r="4" spans="1:16" ht="15" customHeight="1" x14ac:dyDescent="0.2">
      <c r="B4" s="61"/>
      <c r="C4" s="61"/>
      <c r="D4" s="62"/>
      <c r="E4" s="62"/>
      <c r="F4" s="61"/>
      <c r="G4" s="62"/>
      <c r="H4" s="63"/>
      <c r="I4" s="64"/>
      <c r="J4" s="65"/>
      <c r="K4" s="61"/>
      <c r="L4" s="63"/>
      <c r="M4" s="63"/>
      <c r="N4" s="8"/>
      <c r="O4" s="8"/>
      <c r="P4" s="9"/>
    </row>
    <row r="5" spans="1:16" ht="87" customHeight="1" x14ac:dyDescent="0.2">
      <c r="B5" s="27"/>
      <c r="C5" s="35" t="s">
        <v>101</v>
      </c>
      <c r="D5" s="35"/>
      <c r="E5" s="35" t="s">
        <v>176</v>
      </c>
      <c r="F5" s="27" t="s">
        <v>178</v>
      </c>
      <c r="G5" s="54" t="s">
        <v>181</v>
      </c>
      <c r="H5" s="54" t="s">
        <v>182</v>
      </c>
      <c r="I5" s="55" t="s">
        <v>179</v>
      </c>
      <c r="J5" s="34" t="s">
        <v>102</v>
      </c>
      <c r="K5" s="27"/>
      <c r="L5" s="29"/>
      <c r="M5" s="29"/>
      <c r="N5" s="8"/>
      <c r="O5" s="8"/>
      <c r="P5" s="9"/>
    </row>
    <row r="6" spans="1:16" ht="76.5" customHeight="1" x14ac:dyDescent="0.2">
      <c r="B6" s="61"/>
      <c r="C6" s="35"/>
      <c r="D6" s="35"/>
      <c r="E6" s="35"/>
      <c r="F6" s="61"/>
      <c r="G6" s="61"/>
      <c r="H6" s="61"/>
      <c r="I6" s="55"/>
      <c r="J6" s="65"/>
      <c r="K6" s="61"/>
      <c r="L6" s="63"/>
      <c r="M6" s="63"/>
      <c r="N6" s="8"/>
      <c r="O6" s="8"/>
      <c r="P6" s="9"/>
    </row>
    <row r="7" spans="1:16" ht="76.5" customHeight="1" x14ac:dyDescent="0.2">
      <c r="B7" s="61"/>
      <c r="C7" s="35"/>
      <c r="D7" s="35"/>
      <c r="E7" s="35"/>
      <c r="F7" s="61"/>
      <c r="G7" s="61"/>
      <c r="H7" s="61"/>
      <c r="I7" s="55"/>
      <c r="J7" s="65"/>
      <c r="K7" s="61"/>
      <c r="L7" s="63"/>
      <c r="M7" s="63"/>
      <c r="N7" s="8"/>
      <c r="O7" s="8"/>
      <c r="P7" s="9"/>
    </row>
    <row r="8" spans="1:16" ht="76.5" customHeight="1" x14ac:dyDescent="0.2">
      <c r="B8" s="61"/>
      <c r="C8" s="35" t="s">
        <v>219</v>
      </c>
      <c r="D8" s="35"/>
      <c r="E8" s="35"/>
      <c r="F8" s="61"/>
      <c r="G8" s="61"/>
      <c r="H8" s="61"/>
      <c r="I8" s="55"/>
      <c r="J8" s="65"/>
      <c r="K8" s="61"/>
      <c r="L8" s="63"/>
      <c r="M8" s="63"/>
      <c r="N8" s="8"/>
      <c r="O8" s="8"/>
      <c r="P8" s="9"/>
    </row>
    <row r="9" spans="1:16" ht="14.25" x14ac:dyDescent="0.2">
      <c r="B9" s="39"/>
      <c r="C9" s="30"/>
      <c r="D9" s="30"/>
      <c r="E9" s="30"/>
      <c r="F9" s="13"/>
      <c r="G9" s="13"/>
      <c r="H9" s="39"/>
      <c r="I9" s="39"/>
      <c r="J9" s="12"/>
      <c r="K9" s="39"/>
      <c r="L9" s="39"/>
      <c r="M9" s="39"/>
      <c r="N9" s="8"/>
      <c r="O9" s="8"/>
      <c r="P9" s="9"/>
    </row>
    <row r="10" spans="1:16" ht="27" x14ac:dyDescent="0.2">
      <c r="A10" s="49" t="s">
        <v>108</v>
      </c>
      <c r="B10" s="44"/>
      <c r="E10" s="44"/>
      <c r="F10" s="44"/>
      <c r="G10" s="44"/>
      <c r="H10" s="45"/>
      <c r="I10" s="45"/>
      <c r="J10" s="46"/>
      <c r="K10" s="44"/>
      <c r="L10" s="45"/>
      <c r="M10" s="45"/>
      <c r="N10" s="8"/>
      <c r="O10" s="8"/>
      <c r="P10" s="9"/>
    </row>
    <row r="11" spans="1:16" ht="40.5" x14ac:dyDescent="0.2">
      <c r="A11" s="52" t="s">
        <v>140</v>
      </c>
      <c r="B11" s="44">
        <v>1</v>
      </c>
      <c r="C11" s="50" t="s">
        <v>150</v>
      </c>
      <c r="D11" s="50" t="s">
        <v>149</v>
      </c>
      <c r="E11" s="44"/>
      <c r="F11" s="44"/>
      <c r="G11" s="44"/>
      <c r="H11" s="45"/>
      <c r="I11" s="45"/>
      <c r="J11" s="46"/>
      <c r="K11" s="44"/>
      <c r="L11" s="45"/>
      <c r="M11" s="45"/>
      <c r="N11" s="8"/>
      <c r="O11" s="8"/>
      <c r="P11" s="9"/>
    </row>
    <row r="12" spans="1:16" ht="42.75" x14ac:dyDescent="0.2">
      <c r="A12" s="4" t="s">
        <v>130</v>
      </c>
      <c r="B12" s="44">
        <v>2</v>
      </c>
      <c r="C12" s="47" t="s">
        <v>155</v>
      </c>
      <c r="D12" s="47" t="s">
        <v>107</v>
      </c>
      <c r="E12" s="47"/>
      <c r="F12" s="27"/>
      <c r="G12" s="54"/>
      <c r="H12" s="29"/>
      <c r="I12" s="10"/>
      <c r="J12" s="34"/>
      <c r="K12" s="27"/>
      <c r="L12" s="29"/>
      <c r="M12" s="29"/>
      <c r="N12" s="8"/>
      <c r="O12" s="8"/>
      <c r="P12" s="9"/>
    </row>
    <row r="13" spans="1:16" ht="28.5" x14ac:dyDescent="0.2">
      <c r="A13" s="4" t="s">
        <v>173</v>
      </c>
      <c r="B13" s="44">
        <v>3</v>
      </c>
      <c r="C13" s="47" t="s">
        <v>156</v>
      </c>
      <c r="D13" s="47" t="s">
        <v>154</v>
      </c>
      <c r="E13" s="47"/>
      <c r="F13" s="40"/>
      <c r="G13" s="54"/>
      <c r="H13" s="42"/>
      <c r="I13" s="43"/>
      <c r="J13" s="41"/>
      <c r="K13" s="40"/>
      <c r="L13" s="42"/>
      <c r="M13" s="42"/>
      <c r="N13" s="8"/>
      <c r="O13" s="8"/>
      <c r="P13" s="9"/>
    </row>
    <row r="14" spans="1:16" ht="54" x14ac:dyDescent="0.2">
      <c r="A14" s="4" t="s">
        <v>129</v>
      </c>
      <c r="B14" s="44">
        <v>4</v>
      </c>
      <c r="C14" s="48" t="s">
        <v>109</v>
      </c>
      <c r="D14" s="48" t="s">
        <v>135</v>
      </c>
      <c r="E14" s="48"/>
      <c r="F14" s="13"/>
      <c r="G14" s="13"/>
      <c r="H14" s="10"/>
      <c r="I14" s="10"/>
      <c r="J14" s="12">
        <v>138</v>
      </c>
      <c r="K14" s="10"/>
      <c r="L14" s="10"/>
      <c r="M14" s="10"/>
      <c r="N14" s="8"/>
      <c r="O14" s="8"/>
      <c r="P14" s="9"/>
    </row>
    <row r="15" spans="1:16" ht="27" x14ac:dyDescent="0.2">
      <c r="A15" s="4" t="s">
        <v>147</v>
      </c>
      <c r="B15" s="44">
        <v>5</v>
      </c>
      <c r="C15" s="48" t="s">
        <v>141</v>
      </c>
      <c r="D15" s="48" t="s">
        <v>142</v>
      </c>
      <c r="E15" s="48"/>
      <c r="F15" s="13"/>
      <c r="G15" s="13"/>
      <c r="H15" s="43"/>
      <c r="I15" s="43"/>
      <c r="J15" s="12"/>
      <c r="K15" s="43"/>
      <c r="L15" s="43"/>
      <c r="M15" s="43"/>
      <c r="N15" s="8"/>
      <c r="O15" s="8"/>
      <c r="P15" s="9"/>
    </row>
    <row r="16" spans="1:16" ht="27" x14ac:dyDescent="0.2">
      <c r="A16" s="4" t="s">
        <v>147</v>
      </c>
      <c r="B16" s="44">
        <v>6</v>
      </c>
      <c r="C16" s="48" t="s">
        <v>145</v>
      </c>
      <c r="D16" s="48" t="s">
        <v>143</v>
      </c>
      <c r="E16" s="48"/>
      <c r="F16" s="13"/>
      <c r="G16" s="13"/>
      <c r="H16" s="43"/>
      <c r="I16" s="43"/>
      <c r="J16" s="12"/>
      <c r="K16" s="43"/>
      <c r="L16" s="43"/>
      <c r="M16" s="43"/>
      <c r="N16" s="8"/>
      <c r="O16" s="8"/>
      <c r="P16" s="9"/>
    </row>
    <row r="17" spans="1:16" ht="27" x14ac:dyDescent="0.2">
      <c r="A17" s="4" t="s">
        <v>147</v>
      </c>
      <c r="B17" s="44">
        <v>7</v>
      </c>
      <c r="C17" s="48" t="s">
        <v>146</v>
      </c>
      <c r="D17" s="48" t="s">
        <v>144</v>
      </c>
      <c r="E17" s="48"/>
      <c r="F17" s="13"/>
      <c r="G17" s="13"/>
      <c r="H17" s="43"/>
      <c r="I17" s="43"/>
      <c r="J17" s="12"/>
      <c r="K17" s="43"/>
      <c r="L17" s="43"/>
      <c r="M17" s="43"/>
      <c r="N17" s="8"/>
      <c r="O17" s="8"/>
      <c r="P17" s="9"/>
    </row>
    <row r="18" spans="1:16" ht="28.5" x14ac:dyDescent="0.2">
      <c r="A18" s="4" t="s">
        <v>132</v>
      </c>
      <c r="B18" s="44">
        <v>8</v>
      </c>
      <c r="C18" s="47" t="s">
        <v>113</v>
      </c>
      <c r="D18" s="47" t="s">
        <v>116</v>
      </c>
      <c r="E18" s="47"/>
      <c r="F18" s="36"/>
      <c r="G18" s="54"/>
      <c r="H18" s="38"/>
      <c r="I18" s="39"/>
      <c r="J18" s="37"/>
      <c r="K18" s="36"/>
      <c r="L18" s="38"/>
      <c r="M18" s="38"/>
      <c r="N18" s="8"/>
      <c r="O18" s="8"/>
      <c r="P18" s="9"/>
    </row>
    <row r="19" spans="1:16" ht="14.25" x14ac:dyDescent="0.2">
      <c r="A19" s="4" t="s">
        <v>134</v>
      </c>
      <c r="B19" s="44">
        <v>9</v>
      </c>
      <c r="C19" s="47" t="s">
        <v>105</v>
      </c>
      <c r="D19" s="47" t="s">
        <v>119</v>
      </c>
      <c r="E19" s="47"/>
      <c r="F19" s="36"/>
      <c r="G19" s="54"/>
      <c r="H19" s="38"/>
      <c r="I19" s="39"/>
      <c r="J19" s="37"/>
      <c r="K19" s="36"/>
      <c r="L19" s="38"/>
      <c r="M19" s="38"/>
      <c r="N19" s="8"/>
      <c r="O19" s="8"/>
      <c r="P19" s="9"/>
    </row>
    <row r="20" spans="1:16" ht="43.5" customHeight="1" x14ac:dyDescent="0.2">
      <c r="A20" s="4" t="s">
        <v>131</v>
      </c>
      <c r="B20" s="44">
        <v>10</v>
      </c>
      <c r="C20" s="47" t="s">
        <v>112</v>
      </c>
      <c r="D20" s="47" t="s">
        <v>118</v>
      </c>
      <c r="E20" s="47"/>
      <c r="F20" s="36"/>
      <c r="G20" s="54"/>
      <c r="H20" s="38"/>
      <c r="I20" s="39"/>
      <c r="J20" s="37"/>
      <c r="K20" s="36"/>
      <c r="L20" s="38"/>
      <c r="M20" s="38"/>
      <c r="N20" s="8"/>
      <c r="O20" s="8"/>
      <c r="P20" s="9"/>
    </row>
    <row r="21" spans="1:16" ht="28.5" x14ac:dyDescent="0.2">
      <c r="A21" s="4" t="s">
        <v>128</v>
      </c>
      <c r="B21" s="44">
        <v>11</v>
      </c>
      <c r="C21" s="47" t="s">
        <v>103</v>
      </c>
      <c r="D21" s="47" t="s">
        <v>120</v>
      </c>
      <c r="E21" s="47"/>
      <c r="F21" s="36"/>
      <c r="G21" s="54"/>
      <c r="H21" s="38"/>
      <c r="I21" s="39"/>
      <c r="J21" s="37"/>
      <c r="K21" s="36"/>
      <c r="L21" s="38"/>
      <c r="M21" s="38"/>
      <c r="N21" s="8"/>
      <c r="O21" s="8"/>
      <c r="P21" s="9"/>
    </row>
    <row r="22" spans="1:16" ht="27" x14ac:dyDescent="0.2">
      <c r="A22" s="4" t="s">
        <v>128</v>
      </c>
      <c r="B22" s="44">
        <v>12</v>
      </c>
      <c r="C22" s="48" t="s">
        <v>111</v>
      </c>
      <c r="D22" s="48" t="s">
        <v>117</v>
      </c>
      <c r="E22" s="48"/>
      <c r="F22" s="11"/>
      <c r="G22" s="11"/>
      <c r="H22" s="10"/>
      <c r="I22" s="10"/>
      <c r="J22" s="12"/>
      <c r="K22" s="10"/>
      <c r="L22" s="10"/>
      <c r="M22" s="10"/>
      <c r="N22" s="8"/>
      <c r="O22" s="8"/>
      <c r="P22" s="9"/>
    </row>
    <row r="23" spans="1:16" ht="40.5" x14ac:dyDescent="0.2">
      <c r="A23" s="4" t="s">
        <v>128</v>
      </c>
      <c r="B23" s="44">
        <v>13</v>
      </c>
      <c r="C23" s="48" t="s">
        <v>104</v>
      </c>
      <c r="D23" s="48" t="s">
        <v>110</v>
      </c>
      <c r="E23" s="51"/>
      <c r="H23" s="10"/>
      <c r="I23" s="10"/>
      <c r="J23" s="12"/>
      <c r="K23" s="10"/>
      <c r="L23" s="10"/>
      <c r="M23" s="10"/>
      <c r="N23" s="8"/>
      <c r="O23" s="8"/>
      <c r="P23" s="9"/>
    </row>
    <row r="24" spans="1:16" ht="27" x14ac:dyDescent="0.2">
      <c r="A24" s="4" t="s">
        <v>128</v>
      </c>
      <c r="B24" s="44">
        <v>14</v>
      </c>
      <c r="C24" s="48" t="s">
        <v>139</v>
      </c>
      <c r="D24" s="48" t="s">
        <v>133</v>
      </c>
      <c r="E24" s="48"/>
      <c r="F24" s="11"/>
      <c r="G24" s="11"/>
      <c r="H24" s="10"/>
      <c r="I24" s="10"/>
      <c r="J24" s="12"/>
      <c r="K24" s="10"/>
      <c r="L24" s="10"/>
      <c r="M24" s="10"/>
      <c r="N24" s="8"/>
      <c r="O24" s="8"/>
      <c r="P24" s="9"/>
    </row>
    <row r="25" spans="1:16" ht="14.25" x14ac:dyDescent="0.2">
      <c r="A25" s="4" t="s">
        <v>128</v>
      </c>
      <c r="B25" s="44">
        <v>15</v>
      </c>
      <c r="C25" s="48" t="s">
        <v>121</v>
      </c>
      <c r="D25" s="48" t="s">
        <v>122</v>
      </c>
      <c r="E25" s="48"/>
      <c r="F25" s="11"/>
      <c r="G25" s="11"/>
      <c r="H25" s="10"/>
      <c r="I25" s="10"/>
      <c r="J25" s="12">
        <v>5</v>
      </c>
      <c r="K25" s="10"/>
      <c r="L25" s="10" t="s">
        <v>99</v>
      </c>
      <c r="M25" s="10">
        <v>-20</v>
      </c>
      <c r="N25" s="8"/>
      <c r="O25" s="8"/>
      <c r="P25" s="9"/>
    </row>
    <row r="26" spans="1:16" ht="27" x14ac:dyDescent="0.2">
      <c r="A26" s="4" t="s">
        <v>128</v>
      </c>
      <c r="B26" s="44">
        <v>16</v>
      </c>
      <c r="C26" s="48" t="s">
        <v>123</v>
      </c>
      <c r="D26" s="48" t="s">
        <v>124</v>
      </c>
      <c r="E26" s="48"/>
      <c r="F26" s="11"/>
      <c r="G26" s="11"/>
      <c r="H26" s="10"/>
      <c r="I26" s="10"/>
      <c r="J26" s="12">
        <v>6</v>
      </c>
      <c r="K26" s="10"/>
      <c r="L26" s="10" t="s">
        <v>99</v>
      </c>
      <c r="M26" s="10">
        <v>-70</v>
      </c>
      <c r="N26" s="8"/>
      <c r="O26" s="8"/>
      <c r="P26" s="9"/>
    </row>
    <row r="27" spans="1:16" ht="27" x14ac:dyDescent="0.2">
      <c r="A27" s="4" t="s">
        <v>134</v>
      </c>
      <c r="B27" s="44">
        <v>17</v>
      </c>
      <c r="C27" s="48" t="s">
        <v>137</v>
      </c>
      <c r="D27" s="48" t="s">
        <v>136</v>
      </c>
      <c r="E27" s="48"/>
      <c r="F27" s="13"/>
      <c r="G27" s="13"/>
      <c r="H27" s="43"/>
      <c r="I27" s="43"/>
      <c r="J27" s="12"/>
      <c r="K27" s="43"/>
      <c r="L27" s="43"/>
      <c r="M27" s="43"/>
      <c r="N27" s="8"/>
      <c r="O27" s="8"/>
      <c r="P27" s="9"/>
    </row>
    <row r="28" spans="1:16" ht="40.5" x14ac:dyDescent="0.2">
      <c r="A28" s="4" t="s">
        <v>127</v>
      </c>
      <c r="B28" s="44">
        <v>18</v>
      </c>
      <c r="C28" s="48" t="s">
        <v>114</v>
      </c>
      <c r="D28" s="48" t="s">
        <v>125</v>
      </c>
      <c r="E28" s="48"/>
      <c r="F28" s="13"/>
      <c r="G28" s="13"/>
      <c r="H28" s="39"/>
      <c r="I28" s="39"/>
      <c r="J28" s="12"/>
      <c r="K28" s="39"/>
      <c r="L28" s="39"/>
      <c r="M28" s="39"/>
      <c r="N28" s="8"/>
      <c r="O28" s="8"/>
      <c r="P28" s="9"/>
    </row>
    <row r="29" spans="1:16" ht="40.5" x14ac:dyDescent="0.2">
      <c r="A29" s="4" t="s">
        <v>127</v>
      </c>
      <c r="B29" s="44">
        <v>19</v>
      </c>
      <c r="C29" s="48" t="s">
        <v>115</v>
      </c>
      <c r="D29" s="48" t="s">
        <v>126</v>
      </c>
      <c r="E29" s="48"/>
      <c r="F29" s="13"/>
      <c r="G29" s="13"/>
      <c r="H29" s="39"/>
      <c r="I29" s="39"/>
      <c r="J29" s="12"/>
      <c r="K29" s="39"/>
      <c r="L29" s="39"/>
      <c r="M29" s="39"/>
      <c r="N29" s="8"/>
      <c r="O29" s="8"/>
      <c r="P29" s="9"/>
    </row>
    <row r="30" spans="1:16" ht="27" x14ac:dyDescent="0.2">
      <c r="A30" s="4" t="s">
        <v>151</v>
      </c>
      <c r="B30" s="44">
        <v>20</v>
      </c>
      <c r="C30" s="48" t="s">
        <v>175</v>
      </c>
      <c r="D30" s="48" t="s">
        <v>153</v>
      </c>
      <c r="E30" s="48"/>
      <c r="F30" s="13"/>
      <c r="G30" s="13"/>
      <c r="H30" s="43"/>
      <c r="I30" s="43"/>
      <c r="J30" s="12"/>
      <c r="K30" s="43"/>
      <c r="L30" s="43"/>
      <c r="M30" s="43"/>
      <c r="N30" s="8"/>
      <c r="O30" s="8"/>
      <c r="P30" s="9"/>
    </row>
    <row r="31" spans="1:16" ht="14.25" x14ac:dyDescent="0.2">
      <c r="A31" s="4" t="s">
        <v>138</v>
      </c>
      <c r="B31" s="44">
        <v>21</v>
      </c>
      <c r="C31" s="48" t="s">
        <v>148</v>
      </c>
      <c r="D31" s="48" t="s">
        <v>152</v>
      </c>
      <c r="E31" s="48"/>
      <c r="F31" s="13"/>
      <c r="G31" s="13"/>
      <c r="H31" s="43"/>
      <c r="I31" s="43"/>
      <c r="J31" s="12"/>
      <c r="K31" s="43"/>
      <c r="L31" s="43"/>
      <c r="M31" s="43"/>
      <c r="N31" s="8"/>
      <c r="O31" s="8"/>
      <c r="P31" s="9"/>
    </row>
    <row r="32" spans="1:16" ht="27" x14ac:dyDescent="0.2">
      <c r="A32" s="4" t="s">
        <v>157</v>
      </c>
      <c r="B32" s="44">
        <v>22</v>
      </c>
      <c r="C32" s="48" t="s">
        <v>174</v>
      </c>
      <c r="D32" s="48" t="s">
        <v>158</v>
      </c>
      <c r="E32" s="48"/>
      <c r="F32" s="13"/>
      <c r="G32" s="13"/>
      <c r="H32" s="43"/>
      <c r="I32" s="43"/>
      <c r="J32" s="12"/>
      <c r="K32" s="43"/>
      <c r="L32" s="43"/>
      <c r="M32" s="43"/>
      <c r="N32" s="8"/>
      <c r="O32" s="8"/>
      <c r="P32" s="9"/>
    </row>
    <row r="33" spans="1:18" ht="27" x14ac:dyDescent="0.2">
      <c r="A33" s="4" t="s">
        <v>170</v>
      </c>
      <c r="B33" s="44">
        <v>23</v>
      </c>
      <c r="C33" s="48" t="s">
        <v>160</v>
      </c>
      <c r="D33" s="48" t="s">
        <v>159</v>
      </c>
      <c r="E33" s="48"/>
      <c r="F33" s="13"/>
      <c r="G33" s="13"/>
      <c r="H33" s="43"/>
      <c r="I33" s="43"/>
      <c r="J33" s="12"/>
      <c r="K33" s="43"/>
      <c r="L33" s="43"/>
      <c r="M33" s="43"/>
      <c r="N33" s="8"/>
      <c r="O33" s="8"/>
      <c r="P33" s="9"/>
    </row>
    <row r="34" spans="1:18" ht="14.25" x14ac:dyDescent="0.2">
      <c r="A34" s="4" t="s">
        <v>171</v>
      </c>
      <c r="B34" s="44">
        <v>24</v>
      </c>
      <c r="C34" s="48" t="s">
        <v>167</v>
      </c>
      <c r="D34" s="48" t="s">
        <v>168</v>
      </c>
      <c r="E34" s="48"/>
      <c r="F34" s="13"/>
      <c r="G34" s="13"/>
      <c r="H34" s="43"/>
      <c r="I34" s="43"/>
      <c r="J34" s="12"/>
      <c r="K34" s="43"/>
      <c r="L34" s="43"/>
      <c r="M34" s="43"/>
      <c r="N34" s="8"/>
      <c r="O34" s="8"/>
      <c r="P34" s="9"/>
    </row>
    <row r="35" spans="1:18" ht="14.25" x14ac:dyDescent="0.2">
      <c r="A35" s="4" t="s">
        <v>170</v>
      </c>
      <c r="B35" s="44">
        <v>25</v>
      </c>
      <c r="C35" s="48" t="s">
        <v>169</v>
      </c>
      <c r="D35" s="48" t="s">
        <v>172</v>
      </c>
      <c r="E35" s="48"/>
      <c r="F35" s="13"/>
      <c r="G35" s="13"/>
      <c r="H35" s="43"/>
      <c r="I35" s="43"/>
      <c r="J35" s="12"/>
      <c r="K35" s="43"/>
      <c r="L35" s="43"/>
      <c r="M35" s="43"/>
      <c r="N35" s="8"/>
      <c r="O35" s="8"/>
      <c r="P35" s="9"/>
    </row>
    <row r="36" spans="1:18" ht="14.25" x14ac:dyDescent="0.2">
      <c r="B36" s="44"/>
      <c r="C36" s="30"/>
      <c r="D36" s="48"/>
      <c r="E36" s="48"/>
      <c r="F36" s="13"/>
      <c r="G36" s="13"/>
      <c r="H36" s="43"/>
      <c r="I36" s="43"/>
      <c r="J36" s="12"/>
      <c r="K36" s="43"/>
      <c r="L36" s="43"/>
      <c r="M36" s="43"/>
      <c r="N36" s="8"/>
      <c r="O36" s="8"/>
      <c r="P36" s="9"/>
    </row>
    <row r="37" spans="1:18" ht="54" x14ac:dyDescent="0.2">
      <c r="B37" s="10">
        <v>79</v>
      </c>
      <c r="C37" s="32" t="s">
        <v>81</v>
      </c>
      <c r="D37" s="32"/>
      <c r="E37" s="32"/>
      <c r="F37" s="13" t="s">
        <v>51</v>
      </c>
      <c r="G37" s="13"/>
      <c r="H37" s="10"/>
      <c r="I37" s="10"/>
      <c r="J37" s="12" t="s">
        <v>93</v>
      </c>
      <c r="K37" s="10"/>
      <c r="L37" s="10"/>
      <c r="M37" s="10">
        <v>-30</v>
      </c>
      <c r="N37" s="8"/>
      <c r="O37" s="8"/>
      <c r="P37" s="9"/>
    </row>
    <row r="38" spans="1:18" ht="40.5" x14ac:dyDescent="0.2">
      <c r="B38" s="10">
        <v>95</v>
      </c>
      <c r="C38" s="30" t="s">
        <v>82</v>
      </c>
      <c r="D38" s="30"/>
      <c r="E38" s="30"/>
      <c r="F38" s="13" t="s">
        <v>83</v>
      </c>
      <c r="G38" s="13"/>
      <c r="H38" s="10"/>
      <c r="I38" s="10"/>
      <c r="J38" s="33">
        <v>110</v>
      </c>
      <c r="K38" s="10"/>
      <c r="L38" s="25" t="s">
        <v>100</v>
      </c>
      <c r="M38" s="10"/>
      <c r="N38" s="8"/>
      <c r="O38" s="8"/>
      <c r="P38" s="9"/>
    </row>
    <row r="39" spans="1:18" ht="54" x14ac:dyDescent="0.2">
      <c r="B39" s="10">
        <v>114</v>
      </c>
      <c r="C39" s="30" t="s">
        <v>86</v>
      </c>
      <c r="D39" s="30"/>
      <c r="E39" s="30"/>
      <c r="F39" s="13" t="s">
        <v>85</v>
      </c>
      <c r="G39" s="13"/>
      <c r="H39" s="25"/>
      <c r="I39" s="25"/>
      <c r="J39" s="33" t="s">
        <v>97</v>
      </c>
      <c r="K39" s="25"/>
      <c r="L39" s="25"/>
      <c r="M39" s="20"/>
      <c r="Q39" s="3"/>
      <c r="R39" s="7"/>
    </row>
    <row r="40" spans="1:18" ht="54" x14ac:dyDescent="0.2">
      <c r="B40" s="10">
        <v>115</v>
      </c>
      <c r="C40" s="30" t="s">
        <v>87</v>
      </c>
      <c r="D40" s="30"/>
      <c r="E40" s="30"/>
      <c r="F40" s="13" t="s">
        <v>88</v>
      </c>
      <c r="G40" s="13"/>
      <c r="H40" s="25"/>
      <c r="I40" s="25"/>
      <c r="J40" s="33" t="s">
        <v>98</v>
      </c>
      <c r="K40" s="25"/>
      <c r="L40" s="25"/>
      <c r="M40" s="20"/>
      <c r="Q40" s="3"/>
      <c r="R40" s="7"/>
    </row>
    <row r="41" spans="1:18" ht="54" x14ac:dyDescent="0.2">
      <c r="B41" s="10">
        <v>116</v>
      </c>
      <c r="C41" s="30" t="s">
        <v>89</v>
      </c>
      <c r="D41" s="30"/>
      <c r="E41" s="30"/>
      <c r="F41" s="13" t="s">
        <v>85</v>
      </c>
      <c r="G41" s="13"/>
      <c r="H41" s="25"/>
      <c r="I41" s="25"/>
      <c r="J41" s="33" t="s">
        <v>94</v>
      </c>
      <c r="K41" s="25"/>
      <c r="L41" s="25"/>
      <c r="M41" s="20"/>
      <c r="Q41" s="3"/>
      <c r="R41" s="7"/>
    </row>
    <row r="42" spans="1:18" ht="54" x14ac:dyDescent="0.2">
      <c r="B42" s="10">
        <v>117</v>
      </c>
      <c r="C42" s="30" t="s">
        <v>90</v>
      </c>
      <c r="D42" s="30"/>
      <c r="E42" s="30"/>
      <c r="F42" s="13" t="s">
        <v>85</v>
      </c>
      <c r="G42" s="13"/>
      <c r="H42" s="25"/>
      <c r="I42" s="25"/>
      <c r="J42" s="33" t="s">
        <v>95</v>
      </c>
      <c r="K42" s="25"/>
      <c r="L42" s="25"/>
      <c r="M42" s="20"/>
      <c r="Q42" s="3"/>
      <c r="R42" s="7"/>
    </row>
    <row r="43" spans="1:18" ht="54" x14ac:dyDescent="0.2">
      <c r="B43" s="10">
        <v>118</v>
      </c>
      <c r="C43" s="30" t="s">
        <v>91</v>
      </c>
      <c r="D43" s="30"/>
      <c r="E43" s="30"/>
      <c r="F43" s="13" t="s">
        <v>85</v>
      </c>
      <c r="G43" s="13"/>
      <c r="H43" s="25"/>
      <c r="I43" s="25"/>
      <c r="J43" s="33" t="s">
        <v>96</v>
      </c>
      <c r="K43" s="25"/>
      <c r="L43" s="25"/>
      <c r="M43" s="20"/>
      <c r="Q43" s="3"/>
      <c r="R43" s="7"/>
    </row>
    <row r="44" spans="1:18" ht="54" x14ac:dyDescent="0.2">
      <c r="B44" s="10">
        <v>119</v>
      </c>
      <c r="C44" s="30" t="s">
        <v>161</v>
      </c>
      <c r="D44" s="30" t="s">
        <v>165</v>
      </c>
      <c r="E44" s="30"/>
      <c r="F44" s="13" t="s">
        <v>84</v>
      </c>
      <c r="G44" s="13"/>
      <c r="H44" s="25"/>
      <c r="I44" s="25"/>
      <c r="J44" s="31" t="s">
        <v>92</v>
      </c>
      <c r="K44" s="25"/>
      <c r="L44" s="25"/>
      <c r="M44" s="20"/>
      <c r="Q44" s="3"/>
      <c r="R44" s="7"/>
    </row>
    <row r="45" spans="1:18" ht="54" x14ac:dyDescent="0.2">
      <c r="B45" s="10">
        <v>120</v>
      </c>
      <c r="C45" s="30" t="s">
        <v>162</v>
      </c>
      <c r="D45" s="30" t="s">
        <v>164</v>
      </c>
      <c r="E45" s="30"/>
      <c r="F45" s="13" t="s">
        <v>84</v>
      </c>
      <c r="G45" s="13"/>
      <c r="H45" s="25"/>
      <c r="I45" s="25"/>
      <c r="J45" s="31" t="s">
        <v>92</v>
      </c>
      <c r="K45" s="25"/>
      <c r="L45" s="25"/>
      <c r="M45" s="20"/>
      <c r="Q45" s="3"/>
      <c r="R45" s="7"/>
    </row>
    <row r="46" spans="1:18" ht="27" x14ac:dyDescent="0.2">
      <c r="C46" s="30" t="s">
        <v>163</v>
      </c>
    </row>
    <row r="47" spans="1:18" ht="15" customHeight="1" x14ac:dyDescent="0.2">
      <c r="C47" s="53" t="s">
        <v>166</v>
      </c>
    </row>
  </sheetData>
  <sortState ref="C23:C24">
    <sortCondition descending="1" ref="C23:C24"/>
  </sortState>
  <mergeCells count="10">
    <mergeCell ref="B2:B3"/>
    <mergeCell ref="C2:C3"/>
    <mergeCell ref="F2:F3"/>
    <mergeCell ref="K2:K3"/>
    <mergeCell ref="J2:J3"/>
    <mergeCell ref="H2:H3"/>
    <mergeCell ref="I2:I3"/>
    <mergeCell ref="D2:D3"/>
    <mergeCell ref="E2:E3"/>
    <mergeCell ref="G2:G3"/>
  </mergeCells>
  <phoneticPr fontId="1" type="noConversion"/>
  <pageMargins left="0.7" right="0.7" top="0.75" bottom="0.75" header="0.3" footer="0.3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L38"/>
  <sheetViews>
    <sheetView topLeftCell="A13" workbookViewId="0">
      <selection activeCell="D43" sqref="D43"/>
    </sheetView>
  </sheetViews>
  <sheetFormatPr defaultRowHeight="14.25" x14ac:dyDescent="0.2"/>
  <cols>
    <col min="1" max="1" width="5.5" customWidth="1"/>
    <col min="2" max="2" width="7" customWidth="1"/>
    <col min="3" max="3" width="23.375" customWidth="1"/>
    <col min="4" max="4" width="49" customWidth="1"/>
    <col min="6" max="6" width="46.25" customWidth="1"/>
  </cols>
  <sheetData>
    <row r="2" spans="2:12" x14ac:dyDescent="0.2">
      <c r="B2" s="1" t="s">
        <v>77</v>
      </c>
      <c r="C2" s="2" t="s">
        <v>78</v>
      </c>
      <c r="D2" s="1" t="s">
        <v>8</v>
      </c>
      <c r="G2" s="6"/>
      <c r="H2" s="4"/>
      <c r="I2" s="6"/>
      <c r="J2" s="4"/>
      <c r="K2" s="6"/>
      <c r="L2" s="4"/>
    </row>
    <row r="3" spans="2:12" ht="14.25" customHeight="1" x14ac:dyDescent="0.2">
      <c r="B3" s="1" t="s">
        <v>9</v>
      </c>
      <c r="C3" s="15" t="s">
        <v>41</v>
      </c>
      <c r="D3" s="14" t="s">
        <v>7</v>
      </c>
      <c r="G3" s="5"/>
      <c r="H3" s="4"/>
      <c r="I3" s="5"/>
      <c r="J3" s="4"/>
      <c r="K3" s="5"/>
      <c r="L3" s="4"/>
    </row>
    <row r="4" spans="2:12" ht="14.25" customHeight="1" x14ac:dyDescent="0.2">
      <c r="B4" s="1" t="s">
        <v>10</v>
      </c>
      <c r="C4" s="15" t="s">
        <v>42</v>
      </c>
      <c r="D4" s="14" t="s">
        <v>7</v>
      </c>
      <c r="F4" s="19"/>
      <c r="G4" s="6"/>
      <c r="H4" s="4"/>
      <c r="I4" s="6"/>
      <c r="J4" s="4"/>
      <c r="K4" s="6"/>
      <c r="L4" s="4"/>
    </row>
    <row r="5" spans="2:12" x14ac:dyDescent="0.2">
      <c r="B5" s="1" t="s">
        <v>56</v>
      </c>
      <c r="C5" s="16" t="s">
        <v>40</v>
      </c>
      <c r="D5" s="14"/>
      <c r="F5" s="19" t="s">
        <v>79</v>
      </c>
    </row>
    <row r="6" spans="2:12" x14ac:dyDescent="0.2">
      <c r="B6" s="1" t="s">
        <v>11</v>
      </c>
      <c r="C6" s="16" t="s">
        <v>40</v>
      </c>
      <c r="D6" s="14"/>
      <c r="F6" s="20" t="s">
        <v>60</v>
      </c>
    </row>
    <row r="7" spans="2:12" x14ac:dyDescent="0.2">
      <c r="B7" s="1" t="s">
        <v>12</v>
      </c>
      <c r="C7" s="16" t="s">
        <v>2</v>
      </c>
      <c r="D7" s="14" t="s">
        <v>7</v>
      </c>
      <c r="F7" s="20" t="s">
        <v>62</v>
      </c>
    </row>
    <row r="8" spans="2:12" ht="14.25" customHeight="1" x14ac:dyDescent="0.2">
      <c r="B8" s="1" t="s">
        <v>13</v>
      </c>
      <c r="C8" s="15" t="s">
        <v>43</v>
      </c>
      <c r="D8" s="14" t="s">
        <v>7</v>
      </c>
      <c r="F8" s="21" t="s">
        <v>63</v>
      </c>
    </row>
    <row r="9" spans="2:12" ht="14.25" customHeight="1" x14ac:dyDescent="0.2">
      <c r="B9" s="1" t="s">
        <v>14</v>
      </c>
      <c r="C9" s="15" t="s">
        <v>44</v>
      </c>
      <c r="D9" s="14" t="s">
        <v>7</v>
      </c>
    </row>
    <row r="10" spans="2:12" x14ac:dyDescent="0.2">
      <c r="B10" s="1" t="s">
        <v>15</v>
      </c>
      <c r="C10" s="15" t="s">
        <v>32</v>
      </c>
      <c r="D10" s="14" t="s">
        <v>7</v>
      </c>
    </row>
    <row r="11" spans="2:12" ht="14.25" customHeight="1" x14ac:dyDescent="0.2">
      <c r="B11" s="1" t="s">
        <v>16</v>
      </c>
      <c r="C11" s="15" t="s">
        <v>55</v>
      </c>
      <c r="D11" s="14" t="s">
        <v>7</v>
      </c>
    </row>
    <row r="12" spans="2:12" x14ac:dyDescent="0.2">
      <c r="B12" s="1" t="s">
        <v>17</v>
      </c>
      <c r="C12" s="15" t="s">
        <v>31</v>
      </c>
      <c r="D12" s="14" t="s">
        <v>7</v>
      </c>
    </row>
    <row r="13" spans="2:12" x14ac:dyDescent="0.2">
      <c r="B13" s="2" t="s">
        <v>188</v>
      </c>
      <c r="C13" s="16" t="s">
        <v>35</v>
      </c>
      <c r="D13" s="16" t="s">
        <v>7</v>
      </c>
    </row>
    <row r="14" spans="2:12" x14ac:dyDescent="0.2">
      <c r="B14" s="2" t="s">
        <v>18</v>
      </c>
      <c r="C14" s="16" t="s">
        <v>5</v>
      </c>
      <c r="D14" s="16" t="s">
        <v>27</v>
      </c>
    </row>
    <row r="15" spans="2:12" x14ac:dyDescent="0.2">
      <c r="B15" s="2" t="s">
        <v>19</v>
      </c>
      <c r="C15" s="16" t="s">
        <v>4</v>
      </c>
      <c r="D15" s="16" t="s">
        <v>33</v>
      </c>
    </row>
    <row r="16" spans="2:12" x14ac:dyDescent="0.2">
      <c r="B16" s="2" t="s">
        <v>20</v>
      </c>
      <c r="C16" s="16" t="s">
        <v>39</v>
      </c>
      <c r="D16" s="16" t="s">
        <v>7</v>
      </c>
    </row>
    <row r="17" spans="2:4" x14ac:dyDescent="0.2">
      <c r="B17" s="2" t="s">
        <v>21</v>
      </c>
      <c r="C17" s="16" t="s">
        <v>36</v>
      </c>
      <c r="D17" s="16" t="s">
        <v>7</v>
      </c>
    </row>
    <row r="18" spans="2:4" x14ac:dyDescent="0.2">
      <c r="B18" s="2" t="s">
        <v>22</v>
      </c>
      <c r="C18" s="16" t="s">
        <v>37</v>
      </c>
      <c r="D18" s="16" t="s">
        <v>7</v>
      </c>
    </row>
    <row r="19" spans="2:4" x14ac:dyDescent="0.2">
      <c r="B19" s="2" t="s">
        <v>23</v>
      </c>
      <c r="C19" s="16" t="s">
        <v>38</v>
      </c>
      <c r="D19" s="17" t="s">
        <v>34</v>
      </c>
    </row>
    <row r="20" spans="2:4" ht="14.25" customHeight="1" x14ac:dyDescent="0.2">
      <c r="B20" s="2" t="s">
        <v>24</v>
      </c>
      <c r="C20" s="16" t="s">
        <v>57</v>
      </c>
      <c r="D20" s="17" t="s">
        <v>58</v>
      </c>
    </row>
    <row r="21" spans="2:4" x14ac:dyDescent="0.2">
      <c r="B21" s="2" t="s">
        <v>25</v>
      </c>
      <c r="C21" s="16" t="s">
        <v>40</v>
      </c>
      <c r="D21" s="17"/>
    </row>
    <row r="22" spans="2:4" x14ac:dyDescent="0.2">
      <c r="B22" s="2" t="s">
        <v>26</v>
      </c>
      <c r="C22" s="16" t="s">
        <v>46</v>
      </c>
      <c r="D22" s="18" t="s">
        <v>48</v>
      </c>
    </row>
    <row r="23" spans="2:4" x14ac:dyDescent="0.2">
      <c r="B23" s="2" t="s">
        <v>47</v>
      </c>
      <c r="C23" s="16" t="s">
        <v>50</v>
      </c>
      <c r="D23" s="18" t="s">
        <v>49</v>
      </c>
    </row>
    <row r="24" spans="2:4" x14ac:dyDescent="0.2">
      <c r="B24" s="2" t="s">
        <v>52</v>
      </c>
      <c r="C24" s="16" t="s">
        <v>54</v>
      </c>
      <c r="D24" s="18" t="s">
        <v>53</v>
      </c>
    </row>
    <row r="26" spans="2:4" ht="33.75" customHeight="1" x14ac:dyDescent="0.2">
      <c r="C26" s="1" t="s">
        <v>28</v>
      </c>
      <c r="D26" s="22" t="s">
        <v>59</v>
      </c>
    </row>
    <row r="27" spans="2:4" x14ac:dyDescent="0.2">
      <c r="C27" s="1" t="s">
        <v>30</v>
      </c>
      <c r="D27" s="1" t="s">
        <v>61</v>
      </c>
    </row>
    <row r="29" spans="2:4" x14ac:dyDescent="0.2">
      <c r="C29" s="24" t="s">
        <v>80</v>
      </c>
      <c r="D29" s="23" t="s">
        <v>67</v>
      </c>
    </row>
    <row r="30" spans="2:4" x14ac:dyDescent="0.2">
      <c r="D30" s="23" t="s">
        <v>68</v>
      </c>
    </row>
    <row r="31" spans="2:4" x14ac:dyDescent="0.2">
      <c r="D31" s="23" t="s">
        <v>69</v>
      </c>
    </row>
    <row r="32" spans="2:4" x14ac:dyDescent="0.2">
      <c r="D32" s="23" t="s">
        <v>70</v>
      </c>
    </row>
    <row r="33" spans="4:4" x14ac:dyDescent="0.2">
      <c r="D33" s="23" t="s">
        <v>71</v>
      </c>
    </row>
    <row r="34" spans="4:4" x14ac:dyDescent="0.2">
      <c r="D34" s="23" t="s">
        <v>72</v>
      </c>
    </row>
    <row r="35" spans="4:4" x14ac:dyDescent="0.2">
      <c r="D35" s="23" t="s">
        <v>73</v>
      </c>
    </row>
    <row r="36" spans="4:4" x14ac:dyDescent="0.2">
      <c r="D36" s="23" t="s">
        <v>74</v>
      </c>
    </row>
    <row r="37" spans="4:4" x14ac:dyDescent="0.2">
      <c r="D37" s="23" t="s">
        <v>75</v>
      </c>
    </row>
    <row r="38" spans="4:4" x14ac:dyDescent="0.2">
      <c r="D38" s="23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"/>
  <sheetViews>
    <sheetView tabSelected="1" workbookViewId="0">
      <selection activeCell="F19" sqref="F19"/>
    </sheetView>
  </sheetViews>
  <sheetFormatPr defaultRowHeight="14.25" x14ac:dyDescent="0.2"/>
  <cols>
    <col min="2" max="2" width="21.375" customWidth="1"/>
  </cols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按钮1_Click">
                <anchor moveWithCells="1" sizeWithCells="1">
                  <from>
                    <xdr:col>1</xdr:col>
                    <xdr:colOff>276225</xdr:colOff>
                    <xdr:row>12</xdr:row>
                    <xdr:rowOff>171450</xdr:rowOff>
                  </from>
                  <to>
                    <xdr:col>1</xdr:col>
                    <xdr:colOff>1381125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M_JSYQ</vt:lpstr>
      <vt:lpstr>JSYQ</vt:lpstr>
      <vt:lpstr>说明</vt:lpstr>
      <vt:lpstr>输入界面</vt:lpstr>
      <vt:lpstr>JSYQ!Print_Area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2024-07-25T06:09:14Z</dcterms:modified>
</cp:coreProperties>
</file>