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xr:revisionPtr revIDLastSave="0" documentId="13_ncr:1_{3B141C78-3B2C-4BC4-B248-5A06C11471AA}" xr6:coauthVersionLast="47" xr6:coauthVersionMax="47" xr10:uidLastSave="{00000000-0000-0000-0000-000000000000}"/>
  <bookViews>
    <workbookView xWindow="-23148" yWindow="-1824" windowWidth="23256" windowHeight="14016" activeTab="2" xr2:uid="{00000000-000D-0000-FFFF-FFFF00000000}"/>
  </bookViews>
  <sheets>
    <sheet name="Material" sheetId="8" r:id="rId1"/>
    <sheet name="SMaterial" sheetId="9" r:id="rId2"/>
    <sheet name="Standard" sheetId="10" r:id="rId3"/>
    <sheet name="Standard (old1)" sheetId="12" r:id="rId4"/>
    <sheet name="记事本" sheetId="11" r:id="rId5"/>
  </sheets>
  <definedNames>
    <definedName name="_xlnm._FilterDatabase" localSheetId="2" hidden="1">Standard!$B$1:$D$252</definedName>
    <definedName name="_xlnm._FilterDatabase" localSheetId="3" hidden="1">'Standard (old1)'!$B$1:$D$252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1" i="8" l="1"/>
  <c r="N43" i="8"/>
  <c r="N39" i="8"/>
  <c r="E62" i="8" l="1"/>
  <c r="E51" i="8" l="1"/>
  <c r="E52" i="8"/>
  <c r="E44" i="8"/>
  <c r="E45" i="8"/>
  <c r="E46" i="8"/>
  <c r="E47" i="8"/>
  <c r="E48" i="8"/>
  <c r="E61" i="8"/>
  <c r="E63" i="8"/>
  <c r="E65" i="8"/>
  <c r="E67" i="8"/>
  <c r="E69" i="8"/>
  <c r="E71" i="8"/>
  <c r="E73" i="8"/>
  <c r="E75" i="8"/>
  <c r="E77" i="8"/>
  <c r="E54" i="8"/>
  <c r="E55" i="8"/>
  <c r="E56" i="8"/>
  <c r="E57" i="8"/>
  <c r="E58" i="8"/>
  <c r="E18" i="8"/>
  <c r="E19" i="8"/>
  <c r="E20" i="8"/>
  <c r="E21" i="8"/>
  <c r="E12" i="8"/>
  <c r="E13" i="8"/>
  <c r="E14" i="8"/>
  <c r="E15" i="8"/>
  <c r="E16" i="8"/>
  <c r="E17" i="8"/>
  <c r="E53" i="8"/>
  <c r="E49" i="8"/>
  <c r="E50" i="8"/>
  <c r="E4" i="8"/>
  <c r="E5" i="8"/>
  <c r="E6" i="8"/>
  <c r="E7" i="8"/>
  <c r="E8" i="8"/>
  <c r="E9" i="8"/>
  <c r="E10" i="8"/>
  <c r="E11" i="8"/>
  <c r="E42" i="8"/>
  <c r="E43" i="8"/>
  <c r="E82" i="8"/>
  <c r="E83" i="8"/>
  <c r="E84" i="8"/>
  <c r="E85" i="8"/>
  <c r="E86" i="8"/>
  <c r="E60" i="8"/>
  <c r="E64" i="8"/>
  <c r="E66" i="8"/>
  <c r="E68" i="8"/>
  <c r="E70" i="8"/>
  <c r="E72" i="8"/>
  <c r="E74" i="8"/>
  <c r="E76" i="8"/>
  <c r="E92" i="8"/>
  <c r="E93" i="8"/>
  <c r="E94" i="8"/>
  <c r="E78" i="8"/>
  <c r="E79" i="8"/>
  <c r="E80" i="8"/>
  <c r="E8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87" i="8"/>
  <c r="E88" i="8"/>
  <c r="E89" i="8"/>
  <c r="E90" i="8"/>
  <c r="E91" i="8"/>
  <c r="E139" i="8"/>
  <c r="E140" i="8"/>
  <c r="E141" i="8"/>
  <c r="E142" i="8"/>
  <c r="E3" i="8"/>
  <c r="E39" i="8"/>
  <c r="E40" i="8"/>
  <c r="E41" i="8"/>
  <c r="E159" i="8"/>
  <c r="E160" i="8"/>
  <c r="E161" i="8"/>
  <c r="E162" i="8"/>
  <c r="E163" i="8"/>
  <c r="E164" i="8"/>
  <c r="E165" i="8"/>
  <c r="E166" i="8"/>
  <c r="E167" i="8"/>
  <c r="E168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38" i="8"/>
  <c r="E130" i="8"/>
  <c r="E131" i="8"/>
  <c r="E132" i="8"/>
  <c r="E133" i="8"/>
  <c r="E134" i="8"/>
  <c r="E135" i="8"/>
  <c r="E136" i="8"/>
  <c r="E137" i="8"/>
  <c r="E128" i="8"/>
  <c r="E129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69" i="8"/>
  <c r="E170" i="8"/>
  <c r="E171" i="8"/>
  <c r="E59" i="8"/>
</calcChain>
</file>

<file path=xl/sharedStrings.xml><?xml version="1.0" encoding="utf-8"?>
<sst xmlns="http://schemas.openxmlformats.org/spreadsheetml/2006/main" count="1838" uniqueCount="721">
  <si>
    <t>Q245R</t>
  </si>
  <si>
    <t>Q345R</t>
  </si>
  <si>
    <t>18MnMoNbR</t>
    <phoneticPr fontId="1" type="noConversion"/>
  </si>
  <si>
    <t>13MnNiMoR</t>
    <phoneticPr fontId="1" type="noConversion"/>
  </si>
  <si>
    <t>15CrMoR</t>
    <phoneticPr fontId="1" type="noConversion"/>
  </si>
  <si>
    <t>12Cr2Mo1R</t>
    <phoneticPr fontId="1" type="noConversion"/>
  </si>
  <si>
    <t>16MnDR</t>
    <phoneticPr fontId="1" type="noConversion"/>
  </si>
  <si>
    <t>08Ni3DR</t>
    <phoneticPr fontId="1" type="noConversion"/>
  </si>
  <si>
    <t>06Ni9DR</t>
    <phoneticPr fontId="1" type="noConversion"/>
  </si>
  <si>
    <t>07MnNiVDR</t>
    <phoneticPr fontId="1" type="noConversion"/>
  </si>
  <si>
    <t>07MnNiMoDR</t>
    <phoneticPr fontId="1" type="noConversion"/>
  </si>
  <si>
    <t>Q370R</t>
    <phoneticPr fontId="1" type="noConversion"/>
  </si>
  <si>
    <t>14Cr1MoR</t>
    <phoneticPr fontId="1" type="noConversion"/>
  </si>
  <si>
    <t>12Cr1Mo1VR</t>
    <phoneticPr fontId="1" type="noConversion"/>
  </si>
  <si>
    <t>15MnNiDR</t>
    <phoneticPr fontId="1" type="noConversion"/>
  </si>
  <si>
    <t>15MnNiNbDR</t>
    <phoneticPr fontId="1" type="noConversion"/>
  </si>
  <si>
    <t>09MnNiDR</t>
    <phoneticPr fontId="1" type="noConversion"/>
  </si>
  <si>
    <t>07MnMoVR</t>
    <phoneticPr fontId="1" type="noConversion"/>
  </si>
  <si>
    <t>12MnNiVR</t>
    <phoneticPr fontId="1" type="noConversion"/>
  </si>
  <si>
    <t>S11306</t>
    <phoneticPr fontId="1" type="noConversion"/>
  </si>
  <si>
    <t>S11348</t>
    <phoneticPr fontId="1" type="noConversion"/>
  </si>
  <si>
    <t>S11972</t>
    <phoneticPr fontId="1" type="noConversion"/>
  </si>
  <si>
    <t>S21953</t>
    <phoneticPr fontId="1" type="noConversion"/>
  </si>
  <si>
    <t>S22253</t>
    <phoneticPr fontId="1" type="noConversion"/>
  </si>
  <si>
    <t>S22053</t>
    <phoneticPr fontId="1" type="noConversion"/>
  </si>
  <si>
    <t>S30408</t>
    <phoneticPr fontId="1" type="noConversion"/>
  </si>
  <si>
    <t>S30403</t>
    <phoneticPr fontId="1" type="noConversion"/>
  </si>
  <si>
    <t>S30409</t>
    <phoneticPr fontId="1" type="noConversion"/>
  </si>
  <si>
    <t>S31008</t>
    <phoneticPr fontId="1" type="noConversion"/>
  </si>
  <si>
    <t>S31608</t>
    <phoneticPr fontId="1" type="noConversion"/>
  </si>
  <si>
    <t>S31603</t>
    <phoneticPr fontId="1" type="noConversion"/>
  </si>
  <si>
    <t>S31668</t>
    <phoneticPr fontId="1" type="noConversion"/>
  </si>
  <si>
    <t>S31708</t>
    <phoneticPr fontId="1" type="noConversion"/>
  </si>
  <si>
    <t>S31703</t>
    <phoneticPr fontId="1" type="noConversion"/>
  </si>
  <si>
    <t>S32168</t>
    <phoneticPr fontId="1" type="noConversion"/>
  </si>
  <si>
    <t>S39042</t>
    <phoneticPr fontId="1" type="noConversion"/>
  </si>
  <si>
    <t>管材</t>
    <phoneticPr fontId="1" type="noConversion"/>
  </si>
  <si>
    <t>Q345D</t>
    <phoneticPr fontId="1" type="noConversion"/>
  </si>
  <si>
    <t>16Mn</t>
    <phoneticPr fontId="1" type="noConversion"/>
  </si>
  <si>
    <t>12Cr2Mo1</t>
    <phoneticPr fontId="1" type="noConversion"/>
  </si>
  <si>
    <t>1Cr5Mo</t>
    <phoneticPr fontId="1" type="noConversion"/>
  </si>
  <si>
    <t>12Cr1MoVG</t>
    <phoneticPr fontId="1" type="noConversion"/>
  </si>
  <si>
    <t>09MnNiD</t>
    <phoneticPr fontId="1" type="noConversion"/>
  </si>
  <si>
    <t>S25073</t>
    <phoneticPr fontId="1" type="noConversion"/>
  </si>
  <si>
    <t>锻件</t>
    <phoneticPr fontId="1" type="noConversion"/>
  </si>
  <si>
    <t>20MnMo</t>
    <phoneticPr fontId="1" type="noConversion"/>
  </si>
  <si>
    <t>20MnMoNb</t>
    <phoneticPr fontId="1" type="noConversion"/>
  </si>
  <si>
    <t>20MnNiMo</t>
    <phoneticPr fontId="1" type="noConversion"/>
  </si>
  <si>
    <t>35CrMo</t>
    <phoneticPr fontId="1" type="noConversion"/>
  </si>
  <si>
    <t>15CrMo</t>
    <phoneticPr fontId="1" type="noConversion"/>
  </si>
  <si>
    <t>14Cr1Mo</t>
    <phoneticPr fontId="1" type="noConversion"/>
  </si>
  <si>
    <t>12Cr1MoV</t>
    <phoneticPr fontId="1" type="noConversion"/>
  </si>
  <si>
    <t>12Cr2Mo1V</t>
    <phoneticPr fontId="1" type="noConversion"/>
  </si>
  <si>
    <t>12Cr3Mo1V</t>
    <phoneticPr fontId="1" type="noConversion"/>
  </si>
  <si>
    <t>16MnD</t>
    <phoneticPr fontId="1" type="noConversion"/>
  </si>
  <si>
    <t>20MnMoD</t>
    <phoneticPr fontId="1" type="noConversion"/>
  </si>
  <si>
    <t>08MnNiMoVD</t>
    <phoneticPr fontId="1" type="noConversion"/>
  </si>
  <si>
    <t>10Ni3MoVD</t>
    <phoneticPr fontId="1" type="noConversion"/>
  </si>
  <si>
    <t>08Ni3D</t>
    <phoneticPr fontId="1" type="noConversion"/>
  </si>
  <si>
    <t>螺柱</t>
    <phoneticPr fontId="1" type="noConversion"/>
  </si>
  <si>
    <t>40MnB</t>
    <phoneticPr fontId="1" type="noConversion"/>
  </si>
  <si>
    <t>40MnVB</t>
    <phoneticPr fontId="1" type="noConversion"/>
  </si>
  <si>
    <t>40Cr</t>
    <phoneticPr fontId="1" type="noConversion"/>
  </si>
  <si>
    <t>30CrMoA</t>
    <phoneticPr fontId="1" type="noConversion"/>
  </si>
  <si>
    <t>35CrMoA</t>
    <phoneticPr fontId="1" type="noConversion"/>
  </si>
  <si>
    <t>35CrMoVA</t>
    <phoneticPr fontId="1" type="noConversion"/>
  </si>
  <si>
    <t>25Cr2MoVA</t>
    <phoneticPr fontId="1" type="noConversion"/>
  </si>
  <si>
    <t>40CrNiMoA</t>
    <phoneticPr fontId="1" type="noConversion"/>
  </si>
  <si>
    <t>Mtype</t>
    <phoneticPr fontId="1" type="noConversion"/>
  </si>
  <si>
    <t>Mstandard</t>
    <phoneticPr fontId="1" type="noConversion"/>
  </si>
  <si>
    <t>Mname</t>
    <phoneticPr fontId="1" type="noConversion"/>
  </si>
  <si>
    <t>M_g_cm3</t>
    <phoneticPr fontId="1" type="noConversion"/>
  </si>
  <si>
    <t>不锈钢复合</t>
    <phoneticPr fontId="1" type="noConversion"/>
  </si>
  <si>
    <t>不锈钢堆焊</t>
    <phoneticPr fontId="1" type="noConversion"/>
  </si>
  <si>
    <t>镍及镍合金复合</t>
    <phoneticPr fontId="1" type="noConversion"/>
  </si>
  <si>
    <t>N5</t>
    <phoneticPr fontId="1" type="noConversion"/>
  </si>
  <si>
    <t>N7</t>
    <phoneticPr fontId="1" type="noConversion"/>
  </si>
  <si>
    <t>NCu30</t>
    <phoneticPr fontId="1" type="noConversion"/>
  </si>
  <si>
    <t>NS1101</t>
    <phoneticPr fontId="1" type="noConversion"/>
  </si>
  <si>
    <t>NS1102</t>
    <phoneticPr fontId="1" type="noConversion"/>
  </si>
  <si>
    <t>NS1402</t>
    <phoneticPr fontId="1" type="noConversion"/>
  </si>
  <si>
    <t>NS3102</t>
    <phoneticPr fontId="1" type="noConversion"/>
  </si>
  <si>
    <t>NS3203</t>
    <phoneticPr fontId="1" type="noConversion"/>
  </si>
  <si>
    <t>NS3304</t>
    <phoneticPr fontId="1" type="noConversion"/>
  </si>
  <si>
    <t>NS3305</t>
    <phoneticPr fontId="1" type="noConversion"/>
  </si>
  <si>
    <t>NS3311</t>
    <phoneticPr fontId="1" type="noConversion"/>
  </si>
  <si>
    <t>钛及钛合金复合</t>
    <phoneticPr fontId="1" type="noConversion"/>
  </si>
  <si>
    <t>TA1</t>
    <phoneticPr fontId="1" type="noConversion"/>
  </si>
  <si>
    <t>TA2</t>
  </si>
  <si>
    <t>TA3</t>
  </si>
  <si>
    <t>TA9</t>
    <phoneticPr fontId="1" type="noConversion"/>
  </si>
  <si>
    <t>TA10</t>
    <phoneticPr fontId="1" type="noConversion"/>
  </si>
  <si>
    <t>铜及铜合金复合</t>
    <phoneticPr fontId="1" type="noConversion"/>
  </si>
  <si>
    <t>T2</t>
    <phoneticPr fontId="1" type="noConversion"/>
  </si>
  <si>
    <t>TU1</t>
    <phoneticPr fontId="1" type="noConversion"/>
  </si>
  <si>
    <t>H68</t>
    <phoneticPr fontId="1" type="noConversion"/>
  </si>
  <si>
    <t>H62</t>
    <phoneticPr fontId="1" type="noConversion"/>
  </si>
  <si>
    <t>HSn62-1</t>
    <phoneticPr fontId="1" type="noConversion"/>
  </si>
  <si>
    <t>QSn6.5-0.1</t>
    <phoneticPr fontId="1" type="noConversion"/>
  </si>
  <si>
    <t>QA19-2</t>
    <phoneticPr fontId="1" type="noConversion"/>
  </si>
  <si>
    <t>B19</t>
    <phoneticPr fontId="1" type="noConversion"/>
  </si>
  <si>
    <t>BFe10-1-1</t>
    <phoneticPr fontId="1" type="noConversion"/>
  </si>
  <si>
    <t>BFe30-1-2</t>
    <phoneticPr fontId="1" type="noConversion"/>
  </si>
  <si>
    <t>衬环</t>
    <phoneticPr fontId="1" type="noConversion"/>
  </si>
  <si>
    <t>垫板</t>
    <phoneticPr fontId="1" type="noConversion"/>
  </si>
  <si>
    <t>板材</t>
  </si>
  <si>
    <t>Q235A</t>
    <phoneticPr fontId="1" type="noConversion"/>
  </si>
  <si>
    <t>Q235B</t>
    <phoneticPr fontId="1" type="noConversion"/>
  </si>
  <si>
    <t>Q235C</t>
    <phoneticPr fontId="1" type="noConversion"/>
  </si>
  <si>
    <t>type</t>
    <phoneticPr fontId="1" type="noConversion"/>
  </si>
  <si>
    <t>CS</t>
    <phoneticPr fontId="1" type="noConversion"/>
  </si>
  <si>
    <t>SS</t>
    <phoneticPr fontId="1" type="noConversion"/>
  </si>
  <si>
    <t>SS</t>
    <phoneticPr fontId="1" type="noConversion"/>
  </si>
  <si>
    <t>Ni</t>
    <phoneticPr fontId="1" type="noConversion"/>
  </si>
  <si>
    <t>Cu</t>
    <phoneticPr fontId="1" type="noConversion"/>
  </si>
  <si>
    <t>Ti</t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</si>
  <si>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</si>
  <si>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</si>
  <si>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t>镍及镍合金</t>
    <phoneticPr fontId="1" type="noConversion"/>
  </si>
  <si>
    <t>钛及钛合金</t>
    <phoneticPr fontId="1" type="noConversion"/>
  </si>
  <si>
    <t>铜及铜合金</t>
    <phoneticPr fontId="1" type="noConversion"/>
  </si>
  <si>
    <t>锆材</t>
    <phoneticPr fontId="1" type="noConversion"/>
  </si>
  <si>
    <t>Zr-1</t>
    <phoneticPr fontId="1" type="noConversion"/>
  </si>
  <si>
    <t>Zr-3</t>
    <phoneticPr fontId="1" type="noConversion"/>
  </si>
  <si>
    <t>Zr-5</t>
    <phoneticPr fontId="1" type="noConversion"/>
  </si>
  <si>
    <t>Zr</t>
    <phoneticPr fontId="1" type="noConversion"/>
  </si>
  <si>
    <t>锆材复合</t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</si>
  <si>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</si>
  <si>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</si>
  <si>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t>GB/T 3274-2017</t>
    <phoneticPr fontId="1" type="noConversion"/>
  </si>
  <si>
    <t>碳素结构钢和低合金结构钢热轧钢板和钢带</t>
    <phoneticPr fontId="1" type="noConversion"/>
  </si>
  <si>
    <t>GB/T 12771-2008</t>
    <phoneticPr fontId="1" type="noConversion"/>
  </si>
  <si>
    <t>流体输送用不锈钢焊接钢管</t>
  </si>
  <si>
    <t>GB/T 13296-2013</t>
    <phoneticPr fontId="1" type="noConversion"/>
  </si>
  <si>
    <t>锅炉、热交换器用不锈钢无缝钢管</t>
  </si>
  <si>
    <t>GB/T 14975-2012</t>
    <phoneticPr fontId="1" type="noConversion"/>
  </si>
  <si>
    <t>结构用不锈钢无缝钢管</t>
    <phoneticPr fontId="1" type="noConversion"/>
  </si>
  <si>
    <t>GB/T 14976-2012</t>
    <phoneticPr fontId="1" type="noConversion"/>
  </si>
  <si>
    <t>流体输送用不锈钢无缝钢管</t>
  </si>
  <si>
    <t>GB/T 1527-2006</t>
    <phoneticPr fontId="1" type="noConversion"/>
  </si>
  <si>
    <t>铜及铜合金拉制管</t>
    <phoneticPr fontId="1" type="noConversion"/>
  </si>
  <si>
    <t>GB/T 21832-2008</t>
    <phoneticPr fontId="1" type="noConversion"/>
  </si>
  <si>
    <t>奥氏体-铁素体型双相不锈钢焊接钢管</t>
  </si>
  <si>
    <t>GB/T 21833-2008</t>
    <phoneticPr fontId="1" type="noConversion"/>
  </si>
  <si>
    <t>奥氏体-铁素体型双相不锈钢无缝钢管</t>
  </si>
  <si>
    <t>GB/T 24593-2018</t>
    <phoneticPr fontId="1" type="noConversion"/>
  </si>
  <si>
    <t>锅炉和热交换器用奥氏体不锈钢焊接钢管</t>
  </si>
  <si>
    <t>GB/T 26283-2010</t>
    <phoneticPr fontId="1" type="noConversion"/>
  </si>
  <si>
    <t>锆及锆合金无缝管材</t>
    <phoneticPr fontId="1" type="noConversion"/>
  </si>
  <si>
    <t>GB/T 3625-2007</t>
    <phoneticPr fontId="1" type="noConversion"/>
  </si>
  <si>
    <t>换热器及冷凝器用钛及钛合金管</t>
    <phoneticPr fontId="1" type="noConversion"/>
  </si>
  <si>
    <t>GB/T 5310-2008</t>
    <phoneticPr fontId="1" type="noConversion"/>
  </si>
  <si>
    <t>高压锅炉用无缝钢管</t>
  </si>
  <si>
    <t>GB/T 6479-2013</t>
    <phoneticPr fontId="1" type="noConversion"/>
  </si>
  <si>
    <t>高压化肥设备用无缝钢管</t>
  </si>
  <si>
    <t>GB/T 8163-2008</t>
    <phoneticPr fontId="1" type="noConversion"/>
  </si>
  <si>
    <t>输送流体用无缝钢管</t>
  </si>
  <si>
    <t>GB/T 9948-2013</t>
    <phoneticPr fontId="1" type="noConversion"/>
  </si>
  <si>
    <t>石油裂化用无缝钢管</t>
  </si>
  <si>
    <t>GB/T 1220-2007</t>
    <phoneticPr fontId="1" type="noConversion"/>
  </si>
  <si>
    <t>不锈钢棒</t>
    <phoneticPr fontId="1" type="noConversion"/>
  </si>
  <si>
    <t>GB/T 1221-2007</t>
    <phoneticPr fontId="1" type="noConversion"/>
  </si>
  <si>
    <t>耐热钢棒</t>
  </si>
  <si>
    <t>GB/T 1591-2008</t>
    <phoneticPr fontId="1" type="noConversion"/>
  </si>
  <si>
    <t>低合金高强度结构钢</t>
    <phoneticPr fontId="1" type="noConversion"/>
  </si>
  <si>
    <t>GB/T 3077-2015</t>
    <phoneticPr fontId="1" type="noConversion"/>
  </si>
  <si>
    <t>合金结构钢</t>
  </si>
  <si>
    <t>GB/T 699-2015</t>
    <phoneticPr fontId="1" type="noConversion"/>
  </si>
  <si>
    <t>优质碳素结构钢</t>
  </si>
  <si>
    <t>GB/T 700-2006</t>
    <phoneticPr fontId="1" type="noConversion"/>
  </si>
  <si>
    <t>碳素结构钢</t>
    <phoneticPr fontId="1" type="noConversion"/>
  </si>
  <si>
    <t>NB/T 47008-2017</t>
    <phoneticPr fontId="1" type="noConversion"/>
  </si>
  <si>
    <t>承压设备用碳素钢和合金钢锻件</t>
  </si>
  <si>
    <t>NB/T 47009-2017</t>
    <phoneticPr fontId="1" type="noConversion"/>
  </si>
  <si>
    <t>低温承压设备用低合金钢锻件</t>
  </si>
  <si>
    <t>NB/T 47010-2017</t>
    <phoneticPr fontId="1" type="noConversion"/>
  </si>
  <si>
    <t>承压设备用不锈钢和耐热钢锻件</t>
  </si>
  <si>
    <t>NB/T 47028-2012</t>
    <phoneticPr fontId="1" type="noConversion"/>
  </si>
  <si>
    <t>压力容器用镍及镍合金锻件</t>
    <phoneticPr fontId="1" type="noConversion"/>
  </si>
  <si>
    <t>NB/T 47029-2012</t>
    <phoneticPr fontId="1" type="noConversion"/>
  </si>
  <si>
    <t>压力容器用铝及铝合金锻件</t>
    <phoneticPr fontId="1" type="noConversion"/>
  </si>
  <si>
    <t>GB 50009-2012</t>
    <phoneticPr fontId="1" type="noConversion"/>
  </si>
  <si>
    <t>建筑结构荷载规范</t>
    <phoneticPr fontId="1" type="noConversion"/>
  </si>
  <si>
    <t>GB 50011-2010</t>
    <phoneticPr fontId="1" type="noConversion"/>
  </si>
  <si>
    <t>建筑抗震设计规范</t>
    <phoneticPr fontId="1" type="noConversion"/>
  </si>
  <si>
    <t>GB 50017-2003</t>
    <phoneticPr fontId="1" type="noConversion"/>
  </si>
  <si>
    <t>钢结构设计规范</t>
    <phoneticPr fontId="1" type="noConversion"/>
  </si>
  <si>
    <t>GB 50094-2010</t>
    <phoneticPr fontId="1" type="noConversion"/>
  </si>
  <si>
    <t>球形储罐施工规范</t>
    <phoneticPr fontId="1" type="noConversion"/>
  </si>
  <si>
    <t>GB 6178-1986</t>
    <phoneticPr fontId="1" type="noConversion"/>
  </si>
  <si>
    <t>1型六角开槽螺母--A和B级</t>
    <phoneticPr fontId="1" type="noConversion"/>
  </si>
  <si>
    <t>GB 6181-1986</t>
    <phoneticPr fontId="1" type="noConversion"/>
  </si>
  <si>
    <t>GB/T 1031-2009</t>
    <phoneticPr fontId="1" type="noConversion"/>
  </si>
  <si>
    <t xml:space="preserve">产品几何技术规范(GPS)  表面结构  轮廓法  表面粗糙度参数及其数值 </t>
    <phoneticPr fontId="1" type="noConversion"/>
  </si>
  <si>
    <t>GB/T 1184-1996</t>
    <phoneticPr fontId="1" type="noConversion"/>
  </si>
  <si>
    <t>形状和位置公差未注公差值</t>
    <phoneticPr fontId="1" type="noConversion"/>
  </si>
  <si>
    <t xml:space="preserve">GB/T 12337-2014 </t>
    <phoneticPr fontId="1" type="noConversion"/>
  </si>
  <si>
    <t>钢制球形储罐</t>
    <phoneticPr fontId="1" type="noConversion"/>
  </si>
  <si>
    <t>GB/T 12459-2017</t>
    <phoneticPr fontId="1" type="noConversion"/>
  </si>
  <si>
    <t>钢制对焊管件 类型与参数</t>
    <phoneticPr fontId="1" type="noConversion"/>
  </si>
  <si>
    <t>GB/T 13401-2017</t>
    <phoneticPr fontId="1" type="noConversion"/>
  </si>
  <si>
    <t>钢制对焊管件 技术规范</t>
    <phoneticPr fontId="1" type="noConversion"/>
  </si>
  <si>
    <t>GB/T 150.1-2011</t>
    <phoneticPr fontId="1" type="noConversion"/>
  </si>
  <si>
    <t>压力容器 第1部分：通用要求</t>
    <phoneticPr fontId="1" type="noConversion"/>
  </si>
  <si>
    <t>GB/T 150.2-2011</t>
    <phoneticPr fontId="1" type="noConversion"/>
  </si>
  <si>
    <t>压力容器 第2部分：材料</t>
  </si>
  <si>
    <t>GB/T 150.3-2011</t>
    <phoneticPr fontId="1" type="noConversion"/>
  </si>
  <si>
    <t>压力容器 第3部分：设计</t>
    <phoneticPr fontId="1" type="noConversion"/>
  </si>
  <si>
    <t>GB/T 150.4-2011</t>
    <phoneticPr fontId="1" type="noConversion"/>
  </si>
  <si>
    <t>压力容器 第4部分：制造、检验和验收</t>
    <phoneticPr fontId="1" type="noConversion"/>
  </si>
  <si>
    <t xml:space="preserve">GB/T 151-2014 </t>
    <phoneticPr fontId="1" type="noConversion"/>
  </si>
  <si>
    <t>热交换器</t>
    <phoneticPr fontId="1" type="noConversion"/>
  </si>
  <si>
    <t>GB/T 16749-2018</t>
    <phoneticPr fontId="1" type="noConversion"/>
  </si>
  <si>
    <t>压力容器波形膨胀节</t>
    <phoneticPr fontId="1" type="noConversion"/>
  </si>
  <si>
    <t>GB/T 17261-2011</t>
    <phoneticPr fontId="1" type="noConversion"/>
  </si>
  <si>
    <t>钢制球形储罐型式与基本参数</t>
    <phoneticPr fontId="1" type="noConversion"/>
  </si>
  <si>
    <t>GB/T 1804-2000</t>
    <phoneticPr fontId="1" type="noConversion"/>
  </si>
  <si>
    <t>一般公差 未注公差的线性和角度尺寸的公差</t>
    <phoneticPr fontId="1" type="noConversion"/>
  </si>
  <si>
    <t>GB/T 25198-2010</t>
    <phoneticPr fontId="1" type="noConversion"/>
  </si>
  <si>
    <t>压力容器封头</t>
    <phoneticPr fontId="1" type="noConversion"/>
  </si>
  <si>
    <t>GB/T 29463.1-2012</t>
    <phoneticPr fontId="1" type="noConversion"/>
  </si>
  <si>
    <t>管壳式热交换器用垫片第1部分：金属包垫片</t>
    <phoneticPr fontId="1" type="noConversion"/>
  </si>
  <si>
    <t>GB/T 29463.2-2012</t>
    <phoneticPr fontId="1" type="noConversion"/>
  </si>
  <si>
    <t>管壳式热交换器用垫片第2部分：缠绕式垫片</t>
    <phoneticPr fontId="1" type="noConversion"/>
  </si>
  <si>
    <t>GB/T 29463.3-2012</t>
    <phoneticPr fontId="1" type="noConversion"/>
  </si>
  <si>
    <t>管壳式热交换器用垫片第3部分：非金属软垫片</t>
    <phoneticPr fontId="1" type="noConversion"/>
  </si>
  <si>
    <t>GB/T 29465-2012</t>
    <phoneticPr fontId="1" type="noConversion"/>
  </si>
  <si>
    <t>浮头式热交换器用外头盖侧法兰</t>
    <phoneticPr fontId="1" type="noConversion"/>
  </si>
  <si>
    <t>GB/T 30579-2014</t>
    <phoneticPr fontId="1" type="noConversion"/>
  </si>
  <si>
    <t>承压设备损伤模式识别</t>
    <phoneticPr fontId="1" type="noConversion"/>
  </si>
  <si>
    <t>GB/T 50128-2014</t>
    <phoneticPr fontId="1" type="noConversion"/>
  </si>
  <si>
    <t>立式圆筒形钢制焊接储罐施工规范</t>
    <phoneticPr fontId="1" type="noConversion"/>
  </si>
  <si>
    <t>GB/T 50341-2014</t>
    <phoneticPr fontId="1" type="noConversion"/>
  </si>
  <si>
    <t>立式圆筒形钢制焊接油罐设计规范</t>
    <phoneticPr fontId="1" type="noConversion"/>
  </si>
  <si>
    <t>GB/T 50938-2013</t>
    <phoneticPr fontId="1" type="noConversion"/>
  </si>
  <si>
    <t>石油化工钢制低温储罐技术规范</t>
    <phoneticPr fontId="1" type="noConversion"/>
  </si>
  <si>
    <t>GB/T 51094-2015</t>
    <phoneticPr fontId="1" type="noConversion"/>
  </si>
  <si>
    <t>工业企业湿式气柜技术规范</t>
    <phoneticPr fontId="1" type="noConversion"/>
  </si>
  <si>
    <t>GB/T 8165-2008</t>
    <phoneticPr fontId="1" type="noConversion"/>
  </si>
  <si>
    <t>不锈复合钢板和钢带</t>
    <phoneticPr fontId="1" type="noConversion"/>
  </si>
  <si>
    <t>GB/T 9019-2015</t>
    <phoneticPr fontId="1" type="noConversion"/>
  </si>
  <si>
    <t>压力容器公称直径</t>
    <phoneticPr fontId="1" type="noConversion"/>
  </si>
  <si>
    <t>GB/T 9112-2010</t>
    <phoneticPr fontId="1" type="noConversion"/>
  </si>
  <si>
    <t>钢制管法兰 型式与参数</t>
    <phoneticPr fontId="1" type="noConversion"/>
  </si>
  <si>
    <t>GB/T 9113-2010</t>
    <phoneticPr fontId="1" type="noConversion"/>
  </si>
  <si>
    <t>整体钢制管法兰</t>
    <phoneticPr fontId="1" type="noConversion"/>
  </si>
  <si>
    <t>GB/T 9114-2010</t>
    <phoneticPr fontId="1" type="noConversion"/>
  </si>
  <si>
    <t>带颈螺纹钢制管法兰</t>
    <phoneticPr fontId="1" type="noConversion"/>
  </si>
  <si>
    <t>GB/T 9115-2010</t>
    <phoneticPr fontId="1" type="noConversion"/>
  </si>
  <si>
    <t>对焊钢制管法兰</t>
    <phoneticPr fontId="1" type="noConversion"/>
  </si>
  <si>
    <t>GB/T 9116-2010</t>
    <phoneticPr fontId="1" type="noConversion"/>
  </si>
  <si>
    <t>带颈平焊钢制管法兰</t>
    <phoneticPr fontId="1" type="noConversion"/>
  </si>
  <si>
    <t>GB/T 9117-2010</t>
    <phoneticPr fontId="1" type="noConversion"/>
  </si>
  <si>
    <t>带颈承插焊钢制管法兰</t>
    <phoneticPr fontId="1" type="noConversion"/>
  </si>
  <si>
    <t>GB/T 9118-2010</t>
    <phoneticPr fontId="1" type="noConversion"/>
  </si>
  <si>
    <t>对焊环带颈松套钢制管法兰</t>
    <phoneticPr fontId="1" type="noConversion"/>
  </si>
  <si>
    <t>GB/T 9119-2010</t>
    <phoneticPr fontId="1" type="noConversion"/>
  </si>
  <si>
    <t>板式平焊钢制管法兰</t>
    <phoneticPr fontId="1" type="noConversion"/>
  </si>
  <si>
    <t>GB/T 9120-2010</t>
    <phoneticPr fontId="1" type="noConversion"/>
  </si>
  <si>
    <t>对焊环板式松套钢制管法兰</t>
    <phoneticPr fontId="1" type="noConversion"/>
  </si>
  <si>
    <t>GB/T 9121-2010</t>
    <phoneticPr fontId="1" type="noConversion"/>
  </si>
  <si>
    <t>平焊板式松套钢制管法兰</t>
    <phoneticPr fontId="1" type="noConversion"/>
  </si>
  <si>
    <t>GB/T 9122-2010</t>
    <phoneticPr fontId="1" type="noConversion"/>
  </si>
  <si>
    <t>翻边环板式松套钢制管法兰</t>
    <phoneticPr fontId="1" type="noConversion"/>
  </si>
  <si>
    <t>GB/T 9123-2010</t>
    <phoneticPr fontId="1" type="noConversion"/>
  </si>
  <si>
    <t>钢制管法兰盖</t>
    <phoneticPr fontId="1" type="noConversion"/>
  </si>
  <si>
    <t>GB/T 9124-2010</t>
    <phoneticPr fontId="1" type="noConversion"/>
  </si>
  <si>
    <t>钢制管法兰 技术条件</t>
    <phoneticPr fontId="1" type="noConversion"/>
  </si>
  <si>
    <t>固定式钢梯及平台安全要求 第1部分 钢直梯</t>
    <phoneticPr fontId="1" type="noConversion"/>
  </si>
  <si>
    <t>固定式钢梯及平台安全要求 第2部分 钢斜梯</t>
    <phoneticPr fontId="1" type="noConversion"/>
  </si>
  <si>
    <t>固定式钢梯及平台安全要求 第3部分：工业防护栏杆及钢平台</t>
    <phoneticPr fontId="1" type="noConversion"/>
  </si>
  <si>
    <t>HG 20652-1998</t>
    <phoneticPr fontId="1" type="noConversion"/>
  </si>
  <si>
    <t>塔器设计技术规定</t>
    <phoneticPr fontId="1" type="noConversion"/>
  </si>
  <si>
    <t>HG 21505-1992</t>
    <phoneticPr fontId="1" type="noConversion"/>
  </si>
  <si>
    <t>组合式视镜</t>
    <phoneticPr fontId="1" type="noConversion"/>
  </si>
  <si>
    <t>HG/T 20553-2011</t>
    <phoneticPr fontId="1" type="noConversion"/>
  </si>
  <si>
    <t>化工配管用无缝及焊接钢管尺寸选用系列</t>
    <phoneticPr fontId="1" type="noConversion"/>
  </si>
  <si>
    <t>HG/T 20569-2013</t>
    <phoneticPr fontId="1" type="noConversion"/>
  </si>
  <si>
    <t>机械搅拌设备</t>
    <phoneticPr fontId="1" type="noConversion"/>
  </si>
  <si>
    <t>HG/T 20660-2017</t>
    <phoneticPr fontId="1" type="noConversion"/>
  </si>
  <si>
    <t>压力容器中化学介质毒性危害和爆炸危险程度分类</t>
    <phoneticPr fontId="1" type="noConversion"/>
  </si>
  <si>
    <t>HG/T 20677-2013</t>
    <phoneticPr fontId="1" type="noConversion"/>
  </si>
  <si>
    <t>橡胶衬里化工设备设计规范</t>
    <phoneticPr fontId="1" type="noConversion"/>
  </si>
  <si>
    <t>HG/T 20678-2000</t>
    <phoneticPr fontId="1" type="noConversion"/>
  </si>
  <si>
    <t>衬里钢壳设计技术规定</t>
    <phoneticPr fontId="1" type="noConversion"/>
  </si>
  <si>
    <t>HG/T 20696-1999</t>
    <phoneticPr fontId="1" type="noConversion"/>
  </si>
  <si>
    <t>玻璃钢化工设备设计规定</t>
    <phoneticPr fontId="1" type="noConversion"/>
  </si>
  <si>
    <t>HG/T 21514-2014</t>
    <phoneticPr fontId="1" type="noConversion"/>
  </si>
  <si>
    <t>钢制人孔和手孔的类型与技术条件</t>
    <phoneticPr fontId="1" type="noConversion"/>
  </si>
  <si>
    <t>HG/T 21515-2014</t>
    <phoneticPr fontId="1" type="noConversion"/>
  </si>
  <si>
    <t>常压人孔</t>
    <phoneticPr fontId="1" type="noConversion"/>
  </si>
  <si>
    <t>HG/T 21516-2014</t>
    <phoneticPr fontId="1" type="noConversion"/>
  </si>
  <si>
    <t>回转盖板式平焊法兰人孔</t>
  </si>
  <si>
    <t>HG/T 21517-2014</t>
    <phoneticPr fontId="1" type="noConversion"/>
  </si>
  <si>
    <t>回转盖带颈平焊法兰人孔</t>
  </si>
  <si>
    <t>HG/T 21518-2014</t>
    <phoneticPr fontId="1" type="noConversion"/>
  </si>
  <si>
    <t>回转盖带颈对焊法兰人孔</t>
  </si>
  <si>
    <t>HG/T 21519-2014</t>
    <phoneticPr fontId="1" type="noConversion"/>
  </si>
  <si>
    <t>垂直吊盖板式平焊法兰人孔</t>
  </si>
  <si>
    <t>HG/T 21520-2014</t>
    <phoneticPr fontId="1" type="noConversion"/>
  </si>
  <si>
    <t>垂直吊盖带颈平焊法兰人孔</t>
  </si>
  <si>
    <t>HG/T 21521-2014</t>
    <phoneticPr fontId="1" type="noConversion"/>
  </si>
  <si>
    <t>垂直吊盖带颈对焊法兰人孔</t>
  </si>
  <si>
    <t>HG/T 21522-2014</t>
    <phoneticPr fontId="1" type="noConversion"/>
  </si>
  <si>
    <t>水平吊盖板式平焊法兰人孔</t>
  </si>
  <si>
    <t>HG/T 21523-2014</t>
    <phoneticPr fontId="1" type="noConversion"/>
  </si>
  <si>
    <t>水平吊盖带颈平焊法兰人孔</t>
  </si>
  <si>
    <t>HG/T 21524-2014</t>
    <phoneticPr fontId="1" type="noConversion"/>
  </si>
  <si>
    <t>水平吊盖带颈对焊法兰人孔</t>
  </si>
  <si>
    <t>HG/T 21525-2014</t>
    <phoneticPr fontId="1" type="noConversion"/>
  </si>
  <si>
    <t>常压旋柄快开人孔</t>
    <phoneticPr fontId="1" type="noConversion"/>
  </si>
  <si>
    <t>HG/T 21526-2014</t>
    <phoneticPr fontId="1" type="noConversion"/>
  </si>
  <si>
    <t>椭圆形回转盖快开人孔</t>
    <phoneticPr fontId="1" type="noConversion"/>
  </si>
  <si>
    <t>HG/T 21527-2014</t>
    <phoneticPr fontId="1" type="noConversion"/>
  </si>
  <si>
    <t>回转拱盖快开人孔</t>
    <phoneticPr fontId="1" type="noConversion"/>
  </si>
  <si>
    <t>HG/T 21528-2014</t>
    <phoneticPr fontId="1" type="noConversion"/>
  </si>
  <si>
    <t>常压手孔</t>
    <phoneticPr fontId="1" type="noConversion"/>
  </si>
  <si>
    <t>HG/T 21529-2014</t>
    <phoneticPr fontId="1" type="noConversion"/>
  </si>
  <si>
    <t>板式平焊法兰手孔</t>
    <phoneticPr fontId="1" type="noConversion"/>
  </si>
  <si>
    <t>HG/T 21530-2014</t>
    <phoneticPr fontId="1" type="noConversion"/>
  </si>
  <si>
    <t>带颈平焊法兰手孔</t>
    <phoneticPr fontId="1" type="noConversion"/>
  </si>
  <si>
    <t>HG/T 21531-2014</t>
    <phoneticPr fontId="1" type="noConversion"/>
  </si>
  <si>
    <t>带颈对焊法兰手孔</t>
    <phoneticPr fontId="1" type="noConversion"/>
  </si>
  <si>
    <t>HG/T 21532-2014</t>
    <phoneticPr fontId="1" type="noConversion"/>
  </si>
  <si>
    <t>回转盖带颈对焊法兰手孔</t>
    <phoneticPr fontId="1" type="noConversion"/>
  </si>
  <si>
    <t>HG/T 21533-2014</t>
    <phoneticPr fontId="1" type="noConversion"/>
  </si>
  <si>
    <t>常压快开手孔</t>
    <phoneticPr fontId="1" type="noConversion"/>
  </si>
  <si>
    <t>HG/T 21534-2014</t>
    <phoneticPr fontId="1" type="noConversion"/>
  </si>
  <si>
    <t>旋柄快开手孔</t>
    <phoneticPr fontId="1" type="noConversion"/>
  </si>
  <si>
    <t>HG/T 21535-2014</t>
    <phoneticPr fontId="1" type="noConversion"/>
  </si>
  <si>
    <t>回转盖快开手孔</t>
    <phoneticPr fontId="1" type="noConversion"/>
  </si>
  <si>
    <t>HG/T 21559.1-2013</t>
    <phoneticPr fontId="1" type="noConversion"/>
  </si>
  <si>
    <t xml:space="preserve">不锈钢网孔板波纹填料工程技术规范 </t>
    <phoneticPr fontId="1" type="noConversion"/>
  </si>
  <si>
    <t>HG/T 21559.2-2005</t>
    <phoneticPr fontId="1" type="noConversion"/>
  </si>
  <si>
    <t>不锈钢孔板波纹填料</t>
    <phoneticPr fontId="1" type="noConversion"/>
  </si>
  <si>
    <t>HG/T 21559.3-2005</t>
    <phoneticPr fontId="1" type="noConversion"/>
  </si>
  <si>
    <t>不锈钢丝网波纹填料</t>
    <phoneticPr fontId="1" type="noConversion"/>
  </si>
  <si>
    <t>HG/T 21575-1994</t>
    <phoneticPr fontId="1" type="noConversion"/>
  </si>
  <si>
    <t>带灯视镜</t>
    <phoneticPr fontId="1" type="noConversion"/>
  </si>
  <si>
    <t>HG/T 21594-2014</t>
  </si>
  <si>
    <t>衬不锈钢人、手孔分类与技术条件</t>
    <phoneticPr fontId="1" type="noConversion"/>
  </si>
  <si>
    <t>HG/T 21596-2014</t>
  </si>
  <si>
    <t>回转盖衬不锈钢人孔</t>
  </si>
  <si>
    <t>HG/T 21597-2014</t>
  </si>
  <si>
    <t>回转拱盖快开衬不锈钢人孔</t>
  </si>
  <si>
    <t>HG/T 21598-2014</t>
  </si>
  <si>
    <t>水平吊盖衬不锈钢人孔</t>
  </si>
  <si>
    <t>HG/T 21599-2014</t>
  </si>
  <si>
    <t>垂直吊盖衬不锈钢人孔</t>
  </si>
  <si>
    <t>HG/T 21600-2014</t>
  </si>
  <si>
    <t>椭圆快开衬不锈钢人孔</t>
  </si>
  <si>
    <t>HG/T 21602-2014</t>
  </si>
  <si>
    <t>平盖衬不锈钢手孔</t>
  </si>
  <si>
    <t>HG/T 21603-2014</t>
  </si>
  <si>
    <t>回转盖快开衬不锈钢手孔</t>
  </si>
  <si>
    <t>HG/T 21604-2014</t>
    <phoneticPr fontId="1" type="noConversion"/>
  </si>
  <si>
    <t>旋柄快开衬不锈钢手孔</t>
  </si>
  <si>
    <t>HG/T 21639-2005</t>
    <phoneticPr fontId="1" type="noConversion"/>
  </si>
  <si>
    <t>塔顶吊柱</t>
    <phoneticPr fontId="1" type="noConversion"/>
  </si>
  <si>
    <t>钢制化工容器设计基础规范</t>
    <phoneticPr fontId="1" type="noConversion"/>
  </si>
  <si>
    <t>钢制化工容器材料选用规范</t>
    <phoneticPr fontId="1" type="noConversion"/>
  </si>
  <si>
    <t>钢制化工容器强度计算规范</t>
    <phoneticPr fontId="1" type="noConversion"/>
  </si>
  <si>
    <t>钢制化工容器结构设计规范</t>
    <phoneticPr fontId="1" type="noConversion"/>
  </si>
  <si>
    <t>钢制化工容器制造技术规范</t>
    <phoneticPr fontId="1" type="noConversion"/>
  </si>
  <si>
    <t>钢制低温压力容器技术规范</t>
    <phoneticPr fontId="1" type="noConversion"/>
  </si>
  <si>
    <t>钢制管法兰（PN系列）</t>
    <phoneticPr fontId="1" type="noConversion"/>
  </si>
  <si>
    <t>钢制管法兰用非金属平垫片（PN系列）</t>
    <phoneticPr fontId="1" type="noConversion"/>
  </si>
  <si>
    <t>钢制管法兰用聚四氟乙烯包覆垫片（PN系列）</t>
    <phoneticPr fontId="1" type="noConversion"/>
  </si>
  <si>
    <t>钢制管法兰用金属包覆垫片（PN系列）</t>
    <phoneticPr fontId="1" type="noConversion"/>
  </si>
  <si>
    <t>钢制管法兰用缠绕式垫片（PN系列）</t>
    <phoneticPr fontId="1" type="noConversion"/>
  </si>
  <si>
    <t>钢制管法兰用具有覆盖层的齿形组合垫片（PN系列）</t>
    <phoneticPr fontId="1" type="noConversion"/>
  </si>
  <si>
    <t>钢制管法兰用金属环形垫（PN系列）</t>
    <phoneticPr fontId="1" type="noConversion"/>
  </si>
  <si>
    <t>钢制管法兰用紧固件（PN系列）</t>
    <phoneticPr fontId="1" type="noConversion"/>
  </si>
  <si>
    <t>钢制管法兰、垫片、紧固件选配规定（PN系列）</t>
    <phoneticPr fontId="1" type="noConversion"/>
  </si>
  <si>
    <t>钢制管法兰（Class系列）</t>
    <phoneticPr fontId="1" type="noConversion"/>
  </si>
  <si>
    <t>大直径钢制管法兰（Class系列）</t>
    <phoneticPr fontId="1" type="noConversion"/>
  </si>
  <si>
    <t>钢制管法兰用非金属平垫片（Class系列）</t>
  </si>
  <si>
    <t>钢制管法兰用聚四氟乙烯包覆垫片（Class系列）</t>
  </si>
  <si>
    <t>钢制管法兰用金属包覆垫片（Class系列）</t>
  </si>
  <si>
    <t>钢制管法兰用缠绕式垫片（Class系列）</t>
  </si>
  <si>
    <t>钢制管法兰用具有覆盖层的齿形组合垫片（Class系列）</t>
  </si>
  <si>
    <t>钢制管法兰用金属环形垫（Class系列）</t>
  </si>
  <si>
    <t>钢制管法兰用紧固件（Class系列）</t>
  </si>
  <si>
    <t>钢制管法兰、垫片、紧固件选配规定（Class系列）</t>
  </si>
  <si>
    <t>圆形塔平台通用图</t>
    <phoneticPr fontId="1" type="noConversion"/>
  </si>
  <si>
    <t>化工设备吊耳及工程技术要求</t>
    <phoneticPr fontId="1" type="noConversion"/>
  </si>
  <si>
    <t>JB 4732-1995</t>
    <phoneticPr fontId="1" type="noConversion"/>
  </si>
  <si>
    <t>钢制压力容器—分析设计标准(2005确认版)</t>
    <phoneticPr fontId="1" type="noConversion"/>
  </si>
  <si>
    <t>JB/T 4711-2003</t>
    <phoneticPr fontId="1" type="noConversion"/>
  </si>
  <si>
    <t>压力容器涂敷与运输包装</t>
    <phoneticPr fontId="1" type="noConversion"/>
  </si>
  <si>
    <t>JB/T 4734-2002</t>
    <phoneticPr fontId="1" type="noConversion"/>
  </si>
  <si>
    <t>铝制焊接容器</t>
    <phoneticPr fontId="1" type="noConversion"/>
  </si>
  <si>
    <t>JB/T 4736-2002</t>
    <phoneticPr fontId="1" type="noConversion"/>
  </si>
  <si>
    <t>补强圈</t>
    <phoneticPr fontId="1" type="noConversion"/>
  </si>
  <si>
    <t>JB/T 4745-2002</t>
    <phoneticPr fontId="1" type="noConversion"/>
  </si>
  <si>
    <t>钛制焊接容器</t>
    <phoneticPr fontId="1" type="noConversion"/>
  </si>
  <si>
    <t>JB/T 4755-2006</t>
    <phoneticPr fontId="1" type="noConversion"/>
  </si>
  <si>
    <t>铜制压力容器</t>
    <phoneticPr fontId="1" type="noConversion"/>
  </si>
  <si>
    <t>JB/T 4756-2006</t>
    <phoneticPr fontId="1" type="noConversion"/>
  </si>
  <si>
    <t>镍及镍合金制压力容器</t>
    <phoneticPr fontId="1" type="noConversion"/>
  </si>
  <si>
    <t>NB/T 47001-2009</t>
    <phoneticPr fontId="1" type="noConversion"/>
  </si>
  <si>
    <t>钢制液化石油气卧式储罐型式与基本参数</t>
    <phoneticPr fontId="1" type="noConversion"/>
  </si>
  <si>
    <t>NB/T 47002.1-2009</t>
    <phoneticPr fontId="1" type="noConversion"/>
  </si>
  <si>
    <t>压力容器用爆炸焊接复合板 第1部分：不锈钢-钢复合板</t>
    <phoneticPr fontId="1" type="noConversion"/>
  </si>
  <si>
    <t>NB/T 47002.2-2009</t>
    <phoneticPr fontId="1" type="noConversion"/>
  </si>
  <si>
    <t>压力容器用爆炸焊接复合板 第2部分：镍-钢复合板</t>
    <phoneticPr fontId="1" type="noConversion"/>
  </si>
  <si>
    <t>NB/T 47002.3-2009</t>
    <phoneticPr fontId="1" type="noConversion"/>
  </si>
  <si>
    <t>压力容器用爆炸焊接复合板 第3部分：钛-钢复合板</t>
    <phoneticPr fontId="1" type="noConversion"/>
  </si>
  <si>
    <t>NB/T 47002.4-2009</t>
    <phoneticPr fontId="1" type="noConversion"/>
  </si>
  <si>
    <t>压力容器用爆炸焊接复合板 第4部分：铜-钢复合板</t>
    <phoneticPr fontId="1" type="noConversion"/>
  </si>
  <si>
    <t>NB/T 47003.1-2009</t>
    <phoneticPr fontId="1" type="noConversion"/>
  </si>
  <si>
    <t>钢制焊接常压容器</t>
    <phoneticPr fontId="1" type="noConversion"/>
  </si>
  <si>
    <t>NB/T 47003.2-2009</t>
    <phoneticPr fontId="1" type="noConversion"/>
  </si>
  <si>
    <t>固体料仓</t>
    <phoneticPr fontId="1" type="noConversion"/>
  </si>
  <si>
    <t>NB/T 47011-2010</t>
    <phoneticPr fontId="1" type="noConversion"/>
  </si>
  <si>
    <t>锆制压力容器</t>
    <phoneticPr fontId="1" type="noConversion"/>
  </si>
  <si>
    <t>NB/T 47013.10-2015</t>
    <phoneticPr fontId="1" type="noConversion"/>
  </si>
  <si>
    <t>承压设备无损检测 第10部分：衍射时差法超声检测</t>
    <phoneticPr fontId="1" type="noConversion"/>
  </si>
  <si>
    <t>NB/T 47013.11-2015</t>
    <phoneticPr fontId="1" type="noConversion"/>
  </si>
  <si>
    <t>承压设备无损检测 第11部分：X射线数字成像检测</t>
    <phoneticPr fontId="1" type="noConversion"/>
  </si>
  <si>
    <t>NB/T 47013.1-2015</t>
    <phoneticPr fontId="1" type="noConversion"/>
  </si>
  <si>
    <t>承压设备无损检测 第1部分:通用要求</t>
    <phoneticPr fontId="1" type="noConversion"/>
  </si>
  <si>
    <t>NB/T 47013.12-2015</t>
    <phoneticPr fontId="1" type="noConversion"/>
  </si>
  <si>
    <t>承压设备无损检测 第12部分：漏磁检测</t>
    <phoneticPr fontId="1" type="noConversion"/>
  </si>
  <si>
    <t>NB/T 47013.13-2015</t>
    <phoneticPr fontId="1" type="noConversion"/>
  </si>
  <si>
    <t>承压设备无损检测 第13部分：脉冲涡流检测</t>
    <phoneticPr fontId="1" type="noConversion"/>
  </si>
  <si>
    <t>NB/T 47013.14-2015</t>
    <phoneticPr fontId="1" type="noConversion"/>
  </si>
  <si>
    <t>承压设备无损检测 第14部分：X射线计算机辅助成像检测</t>
    <phoneticPr fontId="1" type="noConversion"/>
  </si>
  <si>
    <t>NB/T 47013.2-2015</t>
    <phoneticPr fontId="1" type="noConversion"/>
  </si>
  <si>
    <t>承压设备无损检测 第2部分:射线检测</t>
    <phoneticPr fontId="1" type="noConversion"/>
  </si>
  <si>
    <t>NB/T 47013.3-2015</t>
    <phoneticPr fontId="1" type="noConversion"/>
  </si>
  <si>
    <t>承压设备无损检测 第3部分:超声检测</t>
    <phoneticPr fontId="1" type="noConversion"/>
  </si>
  <si>
    <t>NB/T 47013.4-2015</t>
    <phoneticPr fontId="1" type="noConversion"/>
  </si>
  <si>
    <t>承压设备无损检测 第4部分:磁粉检测</t>
    <phoneticPr fontId="1" type="noConversion"/>
  </si>
  <si>
    <t>NB/T 47013.5-2015</t>
    <phoneticPr fontId="1" type="noConversion"/>
  </si>
  <si>
    <t>承压设备无损检测 第5部分:渗透检测</t>
    <phoneticPr fontId="1" type="noConversion"/>
  </si>
  <si>
    <t>NB/T 47013.6-2015</t>
    <phoneticPr fontId="1" type="noConversion"/>
  </si>
  <si>
    <t>承压设备无损检测 第6部分:涡流检测</t>
    <phoneticPr fontId="1" type="noConversion"/>
  </si>
  <si>
    <t>NB/T 47013.7-2012</t>
    <phoneticPr fontId="1" type="noConversion"/>
  </si>
  <si>
    <t>承压设备无损检测 第7部分：目视检测</t>
    <phoneticPr fontId="1" type="noConversion"/>
  </si>
  <si>
    <t>NB/T 47013.8-2012</t>
    <phoneticPr fontId="1" type="noConversion"/>
  </si>
  <si>
    <t>承压设备无损检测 第8部分：泄漏检测</t>
    <phoneticPr fontId="1" type="noConversion"/>
  </si>
  <si>
    <t>NB/T 47013.9-2012</t>
    <phoneticPr fontId="1" type="noConversion"/>
  </si>
  <si>
    <t>承压设备无损检测 第9部分：声发射检测</t>
    <phoneticPr fontId="1" type="noConversion"/>
  </si>
  <si>
    <t>NB/T 47014-2011</t>
    <phoneticPr fontId="1" type="noConversion"/>
  </si>
  <si>
    <t>压力容器焊接工艺评定</t>
    <phoneticPr fontId="1" type="noConversion"/>
  </si>
  <si>
    <t>NB/T 47015-2011</t>
    <phoneticPr fontId="1" type="noConversion"/>
  </si>
  <si>
    <t>压力容器焊接规程</t>
    <phoneticPr fontId="1" type="noConversion"/>
  </si>
  <si>
    <t>NB/T 47016-2011</t>
    <phoneticPr fontId="1" type="noConversion"/>
  </si>
  <si>
    <t>承压设备产品焊接试件的力学性能检验</t>
    <phoneticPr fontId="1" type="noConversion"/>
  </si>
  <si>
    <t>NB/T 47017-2011</t>
    <phoneticPr fontId="1" type="noConversion"/>
  </si>
  <si>
    <t>压力容器视镜</t>
    <phoneticPr fontId="1" type="noConversion"/>
  </si>
  <si>
    <t>NB/T 47018.1-2017</t>
    <phoneticPr fontId="1" type="noConversion"/>
  </si>
  <si>
    <t>承压设备用焊接材料订货技术条件第1部分：采购通则</t>
    <phoneticPr fontId="1" type="noConversion"/>
  </si>
  <si>
    <t>NB/T 47018.2-2017</t>
    <phoneticPr fontId="1" type="noConversion"/>
  </si>
  <si>
    <t>承压设备用焊接材料订货技术条件第2部分：钢焊条</t>
    <phoneticPr fontId="1" type="noConversion"/>
  </si>
  <si>
    <t>NB/T 47018.3-2017</t>
    <phoneticPr fontId="1" type="noConversion"/>
  </si>
  <si>
    <t>承压设备用焊接材料订货技术条件第3部分：气体保护电弧焊钢焊丝和填充丝</t>
    <phoneticPr fontId="1" type="noConversion"/>
  </si>
  <si>
    <t>NB/T 47018.4-2017</t>
    <phoneticPr fontId="1" type="noConversion"/>
  </si>
  <si>
    <t>承压设备用焊接材料订货技术条件第4部分：埋弧焊钢焊丝和焊剂</t>
    <phoneticPr fontId="1" type="noConversion"/>
  </si>
  <si>
    <t>NB/T 47018.5-2017</t>
    <phoneticPr fontId="1" type="noConversion"/>
  </si>
  <si>
    <t>承压设备用焊接材料订货技术条件第5部分：堆焊用不锈钢焊带和焊剂</t>
    <phoneticPr fontId="1" type="noConversion"/>
  </si>
  <si>
    <t>NB/T 47018.6-2017</t>
    <phoneticPr fontId="1" type="noConversion"/>
  </si>
  <si>
    <t>承压设备用焊接材料订货技术条件第6部分：铝及铝合金焊丝和填充丝</t>
    <phoneticPr fontId="1" type="noConversion"/>
  </si>
  <si>
    <t>NB/T 47018.7-2017</t>
    <phoneticPr fontId="1" type="noConversion"/>
  </si>
  <si>
    <t>承压设备用焊接材料订货技术条件第7部分：钛及钛合金焊丝和填充丝</t>
    <phoneticPr fontId="1" type="noConversion"/>
  </si>
  <si>
    <t>NB/T 47019.1-2011</t>
    <phoneticPr fontId="1" type="noConversion"/>
  </si>
  <si>
    <t>锅炉、热交换器用管定货技术条件 第1部分：通则</t>
    <phoneticPr fontId="1" type="noConversion"/>
  </si>
  <si>
    <t>NB/T 47019.2-2011</t>
    <phoneticPr fontId="1" type="noConversion"/>
  </si>
  <si>
    <t>锅炉、热交换器用管定货技术条件 第2部分：规定室温性能的非合金钢和合金钢</t>
    <phoneticPr fontId="1" type="noConversion"/>
  </si>
  <si>
    <t>NB/T 47019.3-2011</t>
    <phoneticPr fontId="1" type="noConversion"/>
  </si>
  <si>
    <t>锅炉、热交换器用管定货技术条件 第3部分：规定高温性能的非合金钢和合金钢</t>
    <phoneticPr fontId="1" type="noConversion"/>
  </si>
  <si>
    <t>NB/T 47019.4-2011</t>
    <phoneticPr fontId="1" type="noConversion"/>
  </si>
  <si>
    <t>锅炉、热交换器用管定货技术条件 第4部分：低温用低合金钢</t>
    <phoneticPr fontId="1" type="noConversion"/>
  </si>
  <si>
    <t>NB/T 47019.5-2011</t>
    <phoneticPr fontId="1" type="noConversion"/>
  </si>
  <si>
    <t>锅炉、热交换器用管定货技术条件 第5部分：不锈钢</t>
    <phoneticPr fontId="1" type="noConversion"/>
  </si>
  <si>
    <t>NB/T 47019.6-2011</t>
    <phoneticPr fontId="1" type="noConversion"/>
  </si>
  <si>
    <t>锅炉、热交换器用管定货技术条件 第6部分：铁素体/奥氏体型双相不锈钢</t>
    <phoneticPr fontId="1" type="noConversion"/>
  </si>
  <si>
    <t>NB/T 47019.7-2011</t>
    <phoneticPr fontId="1" type="noConversion"/>
  </si>
  <si>
    <t>锅炉、热交换器用管定货技术条件 第7部分：有色金属 铜和铜合金</t>
    <phoneticPr fontId="1" type="noConversion"/>
  </si>
  <si>
    <t>NB/T 47019.8-2011</t>
    <phoneticPr fontId="1" type="noConversion"/>
  </si>
  <si>
    <t>锅炉、热交换器用管定货技术条件 第8部分：有色金属 钛和钛合金</t>
    <phoneticPr fontId="1" type="noConversion"/>
  </si>
  <si>
    <t>NB/T 47020-2012</t>
    <phoneticPr fontId="1" type="noConversion"/>
  </si>
  <si>
    <t>压力容器法兰分类与技术条件</t>
    <phoneticPr fontId="1" type="noConversion"/>
  </si>
  <si>
    <t>NB/T 47021-2012</t>
    <phoneticPr fontId="1" type="noConversion"/>
  </si>
  <si>
    <t>甲型平焊法兰</t>
    <phoneticPr fontId="1" type="noConversion"/>
  </si>
  <si>
    <t>NB/T 47022-2012</t>
    <phoneticPr fontId="1" type="noConversion"/>
  </si>
  <si>
    <t>乙型平焊法兰</t>
    <phoneticPr fontId="1" type="noConversion"/>
  </si>
  <si>
    <t>NB/T 47023-2012</t>
    <phoneticPr fontId="1" type="noConversion"/>
  </si>
  <si>
    <t>长颈对焊法兰</t>
    <phoneticPr fontId="1" type="noConversion"/>
  </si>
  <si>
    <t>NB/T 47024-2012</t>
    <phoneticPr fontId="1" type="noConversion"/>
  </si>
  <si>
    <t>非金属软垫片</t>
    <phoneticPr fontId="1" type="noConversion"/>
  </si>
  <si>
    <t>NB/T 47025-2012</t>
    <phoneticPr fontId="1" type="noConversion"/>
  </si>
  <si>
    <t>缠绕垫片</t>
    <phoneticPr fontId="1" type="noConversion"/>
  </si>
  <si>
    <t>NB/T 47026-2012</t>
    <phoneticPr fontId="1" type="noConversion"/>
  </si>
  <si>
    <t>金属包垫片</t>
    <phoneticPr fontId="1" type="noConversion"/>
  </si>
  <si>
    <t>NB/T 47027-2012</t>
    <phoneticPr fontId="1" type="noConversion"/>
  </si>
  <si>
    <t>压力容器法兰用紧固件</t>
    <phoneticPr fontId="1" type="noConversion"/>
  </si>
  <si>
    <t xml:space="preserve">NB/T 47041-2014 </t>
    <phoneticPr fontId="1" type="noConversion"/>
  </si>
  <si>
    <t>塔式容器</t>
    <phoneticPr fontId="1" type="noConversion"/>
  </si>
  <si>
    <t xml:space="preserve">NB/T 47042-2014 </t>
    <phoneticPr fontId="1" type="noConversion"/>
  </si>
  <si>
    <t>卧式容器</t>
    <phoneticPr fontId="1" type="noConversion"/>
  </si>
  <si>
    <t>NB/T 47065.1-2018</t>
    <phoneticPr fontId="1" type="noConversion"/>
  </si>
  <si>
    <t>容器支座 第1部分：鞍式支座</t>
    <phoneticPr fontId="1" type="noConversion"/>
  </si>
  <si>
    <t>NB/T 47065.2-2018</t>
    <phoneticPr fontId="1" type="noConversion"/>
  </si>
  <si>
    <t>容器支座 第2部分：腿式支座</t>
    <phoneticPr fontId="1" type="noConversion"/>
  </si>
  <si>
    <t>NB/T 47065.3-2018</t>
    <phoneticPr fontId="1" type="noConversion"/>
  </si>
  <si>
    <t>容器支座 第3部分：耳式支座</t>
    <phoneticPr fontId="1" type="noConversion"/>
  </si>
  <si>
    <t>NB/T 47065.4-2018</t>
    <phoneticPr fontId="1" type="noConversion"/>
  </si>
  <si>
    <t>容器支座 第4部分：支承式支座</t>
    <phoneticPr fontId="1" type="noConversion"/>
  </si>
  <si>
    <t>NB/T 47065.5-2018</t>
    <phoneticPr fontId="1" type="noConversion"/>
  </si>
  <si>
    <t>SH 3078-1996</t>
    <phoneticPr fontId="1" type="noConversion"/>
  </si>
  <si>
    <t>立式圆筒形钢制和铝制料仓设计规范</t>
    <phoneticPr fontId="1" type="noConversion"/>
  </si>
  <si>
    <t>SH/T 3074-2007</t>
    <phoneticPr fontId="1" type="noConversion"/>
  </si>
  <si>
    <t>石油化工钢制压力容器</t>
    <phoneticPr fontId="1" type="noConversion"/>
  </si>
  <si>
    <t>SH/T 3088-2012</t>
    <phoneticPr fontId="1" type="noConversion"/>
  </si>
  <si>
    <t>石油化工塔盘设计规范</t>
    <phoneticPr fontId="1" type="noConversion"/>
  </si>
  <si>
    <t>SH/T 3098-2011</t>
    <phoneticPr fontId="1" type="noConversion"/>
  </si>
  <si>
    <t>石油化工塔器设计规范</t>
    <phoneticPr fontId="1" type="noConversion"/>
  </si>
  <si>
    <t>SH/T 3167-2012</t>
    <phoneticPr fontId="1" type="noConversion"/>
  </si>
  <si>
    <t>钢制焊接低压储罐</t>
    <phoneticPr fontId="1" type="noConversion"/>
  </si>
  <si>
    <t>SH/T 3408-2012</t>
    <phoneticPr fontId="1" type="noConversion"/>
  </si>
  <si>
    <t>石油化工钢制对焊管件</t>
    <phoneticPr fontId="1" type="noConversion"/>
  </si>
  <si>
    <t>SH/T 3520-2015</t>
    <phoneticPr fontId="1" type="noConversion"/>
  </si>
  <si>
    <t>石油化工铬钼焊接规范</t>
    <phoneticPr fontId="1" type="noConversion"/>
  </si>
  <si>
    <t>SH/T 3524-2009</t>
    <phoneticPr fontId="1" type="noConversion"/>
  </si>
  <si>
    <t>石油化工静设备现场组焊技术规程</t>
    <phoneticPr fontId="1" type="noConversion"/>
  </si>
  <si>
    <t>SH/T 3525-2015</t>
    <phoneticPr fontId="1" type="noConversion"/>
  </si>
  <si>
    <t>石油化工低温钢焊接规程</t>
    <phoneticPr fontId="1" type="noConversion"/>
  </si>
  <si>
    <t>SH/T 3526-2015</t>
    <phoneticPr fontId="1" type="noConversion"/>
  </si>
  <si>
    <t>石油化工异种钢焊接规程</t>
    <phoneticPr fontId="1" type="noConversion"/>
  </si>
  <si>
    <t>SH/T 3527-2009</t>
    <phoneticPr fontId="1" type="noConversion"/>
  </si>
  <si>
    <t>石油化工不锈钢复合钢焊接规程</t>
    <phoneticPr fontId="1" type="noConversion"/>
  </si>
  <si>
    <t>SH/T 3537-2009</t>
    <phoneticPr fontId="1" type="noConversion"/>
  </si>
  <si>
    <t>立式圆筒形低温储罐施工技术规程</t>
    <phoneticPr fontId="1" type="noConversion"/>
  </si>
  <si>
    <t>石油化工塔型设备基础设计规范</t>
    <phoneticPr fontId="1" type="noConversion"/>
  </si>
  <si>
    <t>石油化工钢制压力容器材料选用规范</t>
    <phoneticPr fontId="1" type="noConversion"/>
  </si>
  <si>
    <t>石油化工铬镍不锈钢、铁镍合金和镍合金焊接规程</t>
    <phoneticPr fontId="1" type="noConversion"/>
  </si>
  <si>
    <t>TSG 21-2016</t>
    <phoneticPr fontId="1" type="noConversion"/>
  </si>
  <si>
    <t>铜及铜合金板材</t>
    <phoneticPr fontId="1" type="noConversion"/>
  </si>
  <si>
    <t>空调与制冷设备用铜及铜合金无缝管</t>
    <phoneticPr fontId="1" type="noConversion"/>
  </si>
  <si>
    <t>热交换器用铜合金无缝管</t>
    <phoneticPr fontId="1" type="noConversion"/>
  </si>
  <si>
    <t>容器用铜及铜合金拉制无缝管</t>
    <phoneticPr fontId="1" type="noConversion"/>
  </si>
  <si>
    <t>容器用铜及铜合金挤制无缝管</t>
    <phoneticPr fontId="1" type="noConversion"/>
  </si>
  <si>
    <t>铸造铜及铜合金</t>
    <phoneticPr fontId="1" type="noConversion"/>
  </si>
  <si>
    <t>铜及铜合金拉制棒</t>
    <phoneticPr fontId="1" type="noConversion"/>
  </si>
  <si>
    <t>铜及铜合金挤制棒</t>
    <phoneticPr fontId="1" type="noConversion"/>
  </si>
  <si>
    <t>钛及钛合金板材</t>
    <phoneticPr fontId="1" type="noConversion"/>
  </si>
  <si>
    <t>板式换热器用钛板</t>
    <phoneticPr fontId="1" type="noConversion"/>
  </si>
  <si>
    <t>GB/T 3624-2010</t>
    <phoneticPr fontId="1" type="noConversion"/>
  </si>
  <si>
    <t>钛及钛合金无缝管</t>
    <phoneticPr fontId="1" type="noConversion"/>
  </si>
  <si>
    <t>换热器及冷凝器用钛及钛合金管</t>
    <phoneticPr fontId="1" type="noConversion"/>
  </si>
  <si>
    <t>钛及钛合金棒材</t>
    <phoneticPr fontId="1" type="noConversion"/>
  </si>
  <si>
    <t>钛及钛合金饼和环</t>
    <phoneticPr fontId="1" type="noConversion"/>
  </si>
  <si>
    <t>钛及钛合金铸件</t>
    <phoneticPr fontId="1" type="noConversion"/>
  </si>
  <si>
    <t>NB/T 4706-2015</t>
    <phoneticPr fontId="1" type="noConversion"/>
  </si>
  <si>
    <t>承压设备用镍及镍合金板</t>
    <phoneticPr fontId="1" type="noConversion"/>
  </si>
  <si>
    <t>NB/T 4747-2015</t>
    <phoneticPr fontId="1" type="noConversion"/>
  </si>
  <si>
    <t>承压设备用镍及镍合金无缝管</t>
    <phoneticPr fontId="1" type="noConversion"/>
  </si>
  <si>
    <t>GB/T 15008-2008</t>
    <phoneticPr fontId="1" type="noConversion"/>
  </si>
  <si>
    <t>耐蚀合金棒</t>
    <phoneticPr fontId="1" type="noConversion"/>
  </si>
  <si>
    <t>GB/T 15009-1994</t>
    <phoneticPr fontId="1" type="noConversion"/>
  </si>
  <si>
    <t>耐蚀合金热轧板</t>
    <phoneticPr fontId="1" type="noConversion"/>
  </si>
  <si>
    <t>GB/T 4435-2010</t>
    <phoneticPr fontId="1" type="noConversion"/>
  </si>
  <si>
    <t>镍及镍合金棒</t>
    <phoneticPr fontId="1" type="noConversion"/>
  </si>
  <si>
    <t>容器支座 第5部分：刚性环支撑</t>
    <phoneticPr fontId="1" type="noConversion"/>
  </si>
  <si>
    <t>压力容器</t>
    <phoneticPr fontId="1" type="noConversion"/>
  </si>
  <si>
    <t>GB/T 150.1~4-2011</t>
    <phoneticPr fontId="1" type="noConversion"/>
  </si>
  <si>
    <t>GB 4053.1-2009</t>
    <phoneticPr fontId="1" type="noConversion"/>
  </si>
  <si>
    <t>GB 4053.2-2009</t>
    <phoneticPr fontId="1" type="noConversion"/>
  </si>
  <si>
    <t>GB 4053.3-2009</t>
    <phoneticPr fontId="1" type="noConversion"/>
  </si>
  <si>
    <t>HG/T 20580-2020</t>
    <phoneticPr fontId="1" type="noConversion"/>
  </si>
  <si>
    <t>HG/T 20581-2020</t>
    <phoneticPr fontId="1" type="noConversion"/>
  </si>
  <si>
    <t>HG/T 20582-2020</t>
    <phoneticPr fontId="1" type="noConversion"/>
  </si>
  <si>
    <t>HG/T 20583-2020</t>
    <phoneticPr fontId="1" type="noConversion"/>
  </si>
  <si>
    <t>HG/T 20584-2020</t>
    <phoneticPr fontId="1" type="noConversion"/>
  </si>
  <si>
    <t>HG/T 20585-2020</t>
    <phoneticPr fontId="1" type="noConversion"/>
  </si>
  <si>
    <t>HG/T 20592-2009</t>
    <phoneticPr fontId="1" type="noConversion"/>
  </si>
  <si>
    <t>HG/T 20606-2009</t>
    <phoneticPr fontId="1" type="noConversion"/>
  </si>
  <si>
    <t>HG/T 20607-2009</t>
    <phoneticPr fontId="1" type="noConversion"/>
  </si>
  <si>
    <t>HG/T 20609-2009</t>
    <phoneticPr fontId="1" type="noConversion"/>
  </si>
  <si>
    <t>HG/T 20610-2009</t>
    <phoneticPr fontId="1" type="noConversion"/>
  </si>
  <si>
    <t>HG/T 20611-2009</t>
    <phoneticPr fontId="1" type="noConversion"/>
  </si>
  <si>
    <t>HG/T 20612-2009</t>
    <phoneticPr fontId="1" type="noConversion"/>
  </si>
  <si>
    <t>HG/T 20613-2009</t>
    <phoneticPr fontId="1" type="noConversion"/>
  </si>
  <si>
    <t>HG/T 20614-2009</t>
    <phoneticPr fontId="1" type="noConversion"/>
  </si>
  <si>
    <t>HG/T 20615-2009</t>
    <phoneticPr fontId="1" type="noConversion"/>
  </si>
  <si>
    <t>HG/T 20623-2009</t>
    <phoneticPr fontId="1" type="noConversion"/>
  </si>
  <si>
    <t>HG/T 20627-2009</t>
    <phoneticPr fontId="1" type="noConversion"/>
  </si>
  <si>
    <t>HG/T 20628-2009</t>
    <phoneticPr fontId="1" type="noConversion"/>
  </si>
  <si>
    <t>HG/T 20630-2009</t>
    <phoneticPr fontId="1" type="noConversion"/>
  </si>
  <si>
    <t>HG/T 20631-2009</t>
    <phoneticPr fontId="1" type="noConversion"/>
  </si>
  <si>
    <t>HG/T 20632-2009</t>
    <phoneticPr fontId="1" type="noConversion"/>
  </si>
  <si>
    <t>HG/T 20633-2009</t>
    <phoneticPr fontId="1" type="noConversion"/>
  </si>
  <si>
    <t>HG/T20634-2009</t>
    <phoneticPr fontId="1" type="noConversion"/>
  </si>
  <si>
    <t>HG/T 20635-2009</t>
    <phoneticPr fontId="1" type="noConversion"/>
  </si>
  <si>
    <t>HG/T 21543-2009</t>
    <phoneticPr fontId="1" type="noConversion"/>
  </si>
  <si>
    <t>HG/T 21574-2008</t>
    <phoneticPr fontId="1" type="noConversion"/>
  </si>
  <si>
    <t>SH/T 3030-2009</t>
    <phoneticPr fontId="1" type="noConversion"/>
  </si>
  <si>
    <t>SH/T 3075-2009</t>
    <phoneticPr fontId="1" type="noConversion"/>
  </si>
  <si>
    <t>SH/T 3523-2009</t>
    <phoneticPr fontId="1" type="noConversion"/>
  </si>
  <si>
    <t xml:space="preserve"> 设计制造与检验标准</t>
    <phoneticPr fontId="1" type="noConversion"/>
  </si>
  <si>
    <t>type</t>
    <phoneticPr fontId="1" type="noConversion"/>
  </si>
  <si>
    <t>StandardID</t>
    <phoneticPr fontId="1" type="noConversion"/>
  </si>
  <si>
    <t>GB/T 2040-2017</t>
    <phoneticPr fontId="1" type="noConversion"/>
  </si>
  <si>
    <t>GB/T 17791-2017</t>
    <phoneticPr fontId="1" type="noConversion"/>
  </si>
  <si>
    <t>GB/T 8890-2015</t>
    <phoneticPr fontId="1" type="noConversion"/>
  </si>
  <si>
    <t>GB/T 1527-2017</t>
    <phoneticPr fontId="1" type="noConversion"/>
  </si>
  <si>
    <t>GB/T 1528-1997</t>
    <phoneticPr fontId="1" type="noConversion"/>
  </si>
  <si>
    <t>GB/T 1176-2013</t>
    <phoneticPr fontId="1" type="noConversion"/>
  </si>
  <si>
    <t>GB/T 4423-2020</t>
    <phoneticPr fontId="1" type="noConversion"/>
  </si>
  <si>
    <t>GB/T 13808-1992</t>
    <phoneticPr fontId="1" type="noConversion"/>
  </si>
  <si>
    <t>GB/T 3621-2007</t>
    <phoneticPr fontId="1" type="noConversion"/>
  </si>
  <si>
    <t>GB/T 14845-2007</t>
    <phoneticPr fontId="1" type="noConversion"/>
  </si>
  <si>
    <t>GB/T 3625-2007</t>
    <phoneticPr fontId="1" type="noConversion"/>
  </si>
  <si>
    <t>GB/T 2965-2007</t>
    <phoneticPr fontId="1" type="noConversion"/>
  </si>
  <si>
    <t>GB/T 16598-2013</t>
    <phoneticPr fontId="1" type="noConversion"/>
  </si>
  <si>
    <t>GB/T 6614-2014</t>
    <phoneticPr fontId="1" type="noConversion"/>
  </si>
  <si>
    <t>ID</t>
    <phoneticPr fontId="1" type="noConversion"/>
  </si>
  <si>
    <t>ID</t>
    <phoneticPr fontId="1" type="noConversion"/>
  </si>
  <si>
    <t>最低冲击温度</t>
    <phoneticPr fontId="6" type="noConversion"/>
  </si>
  <si>
    <t>标准冲击温度</t>
    <phoneticPr fontId="6" type="noConversion"/>
  </si>
  <si>
    <t>KV2</t>
    <phoneticPr fontId="6" type="noConversion"/>
  </si>
  <si>
    <t>配套材料</t>
    <phoneticPr fontId="6" type="noConversion"/>
  </si>
  <si>
    <t>39,92</t>
    <phoneticPr fontId="6" type="noConversion"/>
  </si>
  <si>
    <t>48,94</t>
    <phoneticPr fontId="6" type="noConversion"/>
  </si>
  <si>
    <t>49,95</t>
    <phoneticPr fontId="6" type="noConversion"/>
  </si>
  <si>
    <t>49,96</t>
    <phoneticPr fontId="6" type="noConversion"/>
  </si>
  <si>
    <t>42,99</t>
    <phoneticPr fontId="6" type="noConversion"/>
  </si>
  <si>
    <t>43,100</t>
    <phoneticPr fontId="6" type="noConversion"/>
  </si>
  <si>
    <t>44,101</t>
    <phoneticPr fontId="6" type="noConversion"/>
  </si>
  <si>
    <t>44,102</t>
    <phoneticPr fontId="6" type="noConversion"/>
  </si>
  <si>
    <t>49,105</t>
    <phoneticPr fontId="6" type="noConversion"/>
  </si>
  <si>
    <t>49,106</t>
    <phoneticPr fontId="6" type="noConversion"/>
  </si>
  <si>
    <t>49,108</t>
    <phoneticPr fontId="6" type="noConversion"/>
  </si>
  <si>
    <t>54,109</t>
    <phoneticPr fontId="6" type="noConversion"/>
  </si>
  <si>
    <t>110</t>
    <phoneticPr fontId="6" type="noConversion"/>
  </si>
  <si>
    <t>76,122</t>
    <phoneticPr fontId="6" type="noConversion"/>
  </si>
  <si>
    <t>77,123</t>
    <phoneticPr fontId="6" type="noConversion"/>
  </si>
  <si>
    <t>57,111</t>
    <phoneticPr fontId="6" type="noConversion"/>
  </si>
  <si>
    <t>59,112</t>
    <phoneticPr fontId="6" type="noConversion"/>
  </si>
  <si>
    <t>74,113</t>
    <phoneticPr fontId="6" type="noConversion"/>
  </si>
  <si>
    <t>73,114</t>
    <phoneticPr fontId="6" type="noConversion"/>
  </si>
  <si>
    <t>63,115</t>
    <phoneticPr fontId="6" type="noConversion"/>
  </si>
  <si>
    <t>65,116</t>
    <phoneticPr fontId="6" type="noConversion"/>
  </si>
  <si>
    <t>67,117</t>
    <phoneticPr fontId="6" type="noConversion"/>
  </si>
  <si>
    <t>69,118</t>
    <phoneticPr fontId="6" type="noConversion"/>
  </si>
  <si>
    <t>71,118</t>
    <phoneticPr fontId="6" type="noConversion"/>
  </si>
  <si>
    <t>61,119</t>
    <phoneticPr fontId="6" type="noConversion"/>
  </si>
  <si>
    <t>120</t>
    <phoneticPr fontId="6" type="noConversion"/>
  </si>
  <si>
    <t>12CrMo</t>
    <phoneticPr fontId="1" type="noConversion"/>
  </si>
  <si>
    <t>15CrMo</t>
    <phoneticPr fontId="1" type="noConversion"/>
  </si>
  <si>
    <t>12Cr1Mo</t>
    <phoneticPr fontId="1" type="noConversion"/>
  </si>
  <si>
    <t>12Cr2Mo</t>
    <phoneticPr fontId="1" type="noConversion"/>
  </si>
  <si>
    <t>1Cr5Mo</t>
    <phoneticPr fontId="1" type="noConversion"/>
  </si>
  <si>
    <t>08Cr2ALMo</t>
    <phoneticPr fontId="1" type="noConversion"/>
  </si>
  <si>
    <t>09CrCuSb</t>
    <phoneticPr fontId="1" type="noConversion"/>
  </si>
  <si>
    <t>09MnD</t>
    <phoneticPr fontId="1" type="noConversion"/>
  </si>
  <si>
    <t>09MnNiD</t>
    <phoneticPr fontId="1" type="noConversion"/>
  </si>
  <si>
    <t>12Cr2Mo1</t>
    <phoneticPr fontId="1" type="noConversion"/>
  </si>
  <si>
    <t>10</t>
    <phoneticPr fontId="6" type="noConversion"/>
  </si>
  <si>
    <t>Q345D</t>
    <phoneticPr fontId="1" type="noConversion"/>
  </si>
  <si>
    <t>Q345E</t>
    <phoneticPr fontId="1" type="noConversion"/>
  </si>
  <si>
    <t>47,92</t>
    <phoneticPr fontId="1" type="noConversion"/>
  </si>
  <si>
    <t>42,99</t>
  </si>
  <si>
    <t>Mstandard</t>
    <phoneticPr fontId="1" type="noConversion"/>
  </si>
  <si>
    <t>StandardID</t>
    <phoneticPr fontId="1" type="noConversion"/>
  </si>
  <si>
    <t>序号</t>
    <phoneticPr fontId="6" type="noConversion"/>
  </si>
  <si>
    <t>介质特性</t>
    <phoneticPr fontId="6" type="noConversion"/>
  </si>
  <si>
    <t>无</t>
    <phoneticPr fontId="6" type="noConversion"/>
  </si>
  <si>
    <t>易爆</t>
    <phoneticPr fontId="6" type="noConversion"/>
  </si>
  <si>
    <t>中度危害</t>
    <phoneticPr fontId="6" type="noConversion"/>
  </si>
  <si>
    <t>高度危害</t>
    <phoneticPr fontId="6" type="noConversion"/>
  </si>
  <si>
    <t>极度危害</t>
    <phoneticPr fontId="6" type="noConversion"/>
  </si>
  <si>
    <t>易爆、中度危害</t>
    <phoneticPr fontId="6" type="noConversion"/>
  </si>
  <si>
    <t>易爆、高度危害</t>
    <phoneticPr fontId="6" type="noConversion"/>
  </si>
  <si>
    <t>易爆、极度危害</t>
    <phoneticPr fontId="6" type="noConversion"/>
  </si>
  <si>
    <t>序号</t>
    <phoneticPr fontId="6" type="noConversion"/>
  </si>
  <si>
    <t>容器类别</t>
    <phoneticPr fontId="6" type="noConversion"/>
  </si>
  <si>
    <t>Ⅰ/D1</t>
    <phoneticPr fontId="6" type="noConversion"/>
  </si>
  <si>
    <t>Ⅱ/D2</t>
    <phoneticPr fontId="6" type="noConversion"/>
  </si>
  <si>
    <t>Ⅲ/A1</t>
    <phoneticPr fontId="6" type="noConversion"/>
  </si>
  <si>
    <t>Ⅲ/A2</t>
    <phoneticPr fontId="6" type="noConversion"/>
  </si>
  <si>
    <t>Ⅲ/A3</t>
    <phoneticPr fontId="6" type="noConversion"/>
  </si>
  <si>
    <t>Ⅱ/A3</t>
    <phoneticPr fontId="6" type="noConversion"/>
  </si>
  <si>
    <t>Ⅰ/A3</t>
    <phoneticPr fontId="6" type="noConversion"/>
  </si>
  <si>
    <t>Ⅱ/A1</t>
    <phoneticPr fontId="6" type="noConversion"/>
  </si>
  <si>
    <t>Ⅰ/SAD</t>
    <phoneticPr fontId="6" type="noConversion"/>
  </si>
  <si>
    <t>Ⅱ/SAD</t>
    <phoneticPr fontId="6" type="noConversion"/>
  </si>
  <si>
    <t>Ⅲ/SAD</t>
    <phoneticPr fontId="6" type="noConversion"/>
  </si>
  <si>
    <t>--</t>
    <phoneticPr fontId="6" type="noConversion"/>
  </si>
  <si>
    <t>注：ID号码不能更改了</t>
    <phoneticPr fontId="1" type="noConversion"/>
  </si>
  <si>
    <t>石油化工钢制套管换热器技术规范</t>
    <phoneticPr fontId="1" type="noConversion"/>
  </si>
  <si>
    <t xml:space="preserve">SH/T 3119-2016 </t>
    <phoneticPr fontId="1" type="noConversion"/>
  </si>
  <si>
    <t>六角开槽薄螺母--A和B级</t>
    <phoneticPr fontId="1" type="noConversion"/>
  </si>
  <si>
    <t>固定式压力容器安全技术监察规程(含修改单)</t>
    <phoneticPr fontId="1" type="noConversion"/>
  </si>
  <si>
    <t>12Cr5Mo</t>
    <phoneticPr fontId="1" type="noConversion"/>
  </si>
  <si>
    <t>GB/T 6479-2013</t>
    <phoneticPr fontId="1" type="noConversion"/>
  </si>
  <si>
    <t>NB/T 47008-2017</t>
    <phoneticPr fontId="1" type="noConversion"/>
  </si>
  <si>
    <t>GB/T 14976-2012</t>
    <phoneticPr fontId="1" type="noConversion"/>
  </si>
  <si>
    <t>GB/T 713.2-2023</t>
    <phoneticPr fontId="1" type="noConversion"/>
  </si>
  <si>
    <t>承压设备用钢板和钢带：第2部 分规定温度性能的非合金钢和合金钢</t>
    <phoneticPr fontId="1" type="noConversion"/>
  </si>
  <si>
    <t>承压设备用钢板和钢带：第3部 规定低温性能的低合金钢</t>
    <phoneticPr fontId="1" type="noConversion"/>
  </si>
  <si>
    <t>GB/T 713.3-2023</t>
    <phoneticPr fontId="1" type="noConversion"/>
  </si>
  <si>
    <t>GB/T 713.4-2023</t>
    <phoneticPr fontId="1" type="noConversion"/>
  </si>
  <si>
    <t>承压设备用钢板和钢带：第4部 规定低温性能的镍合金钢</t>
    <phoneticPr fontId="1" type="noConversion"/>
  </si>
  <si>
    <t>承压设备用钢板和钢带：第6部 调质高强度钢</t>
    <phoneticPr fontId="1" type="noConversion"/>
  </si>
  <si>
    <t>GB/T 713.6-2023</t>
    <phoneticPr fontId="1" type="noConversion"/>
  </si>
  <si>
    <t>GB/T 713.7-2023</t>
    <phoneticPr fontId="1" type="noConversion"/>
  </si>
  <si>
    <t>承压设备用钢板和钢带：第7部 不锈钢和耐热钢</t>
    <phoneticPr fontId="1" type="noConversion"/>
  </si>
  <si>
    <t>12Cr2Mo1VR</t>
    <phoneticPr fontId="1" type="noConversion"/>
  </si>
  <si>
    <t>承压设备用钢板和钢带：第5部 规定低温性能的高锰钢</t>
    <phoneticPr fontId="1" type="noConversion"/>
  </si>
  <si>
    <t>GB/T 713.5-2023</t>
    <phoneticPr fontId="1" type="noConversion"/>
  </si>
  <si>
    <t>GB/T 150.1~4-2024</t>
    <phoneticPr fontId="1" type="noConversion"/>
  </si>
  <si>
    <t>GB/T 150.1-2024</t>
    <phoneticPr fontId="1" type="noConversion"/>
  </si>
  <si>
    <t>GB/T 150.2-2024</t>
    <phoneticPr fontId="1" type="noConversion"/>
  </si>
  <si>
    <t>GB/T 150.3-2024</t>
    <phoneticPr fontId="1" type="noConversion"/>
  </si>
  <si>
    <t>GB/T 150.4-2024</t>
    <phoneticPr fontId="1" type="noConversion"/>
  </si>
  <si>
    <t>压力容器分析设计</t>
    <phoneticPr fontId="1" type="noConversion"/>
  </si>
  <si>
    <t>GB/T 4732.1~6-2024</t>
    <phoneticPr fontId="1" type="noConversion"/>
  </si>
  <si>
    <t>GB/T 13296-2023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</si>
</sst>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1"/>
      <color theme="1"/>
      <name val="楷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1" xfId="0" applyBorder="1">
      <alignment vertical="center"/>
    </xf>
    <xf numFmtId="0" fontId="5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</cellXfs>
  <cellStyles count="3">
    <cellStyle name="常规" xfId="0" builtinId="0"/>
    <cellStyle name="常规 2" xfId="2" xr:uid="{00000000-0005-0000-0000-000001000000}"/>
    <cellStyle name="常规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P171"/>
  <sheetViews>
    <sheetView zoomScaleNormal="100" workbookViewId="0">
      <selection activeCell="E8" sqref="E8"/>
    </sheetView>
  </sheetViews>
  <sheetFormatPr defaultRowHeight="14.4" x14ac:dyDescent="0.25"/>
  <cols>
    <col min="1" max="1" width="4.44140625" customWidth="1"/>
    <col min="2" max="2" width="5" customWidth="1"/>
    <col min="3" max="3" width="11.33203125" customWidth="1"/>
    <col min="4" max="4" width="11.6640625" customWidth="1"/>
    <col min="5" max="5" width="18.33203125" style="25" customWidth="1"/>
    <col min="6" max="6" width="13.33203125" customWidth="1"/>
    <col min="7" max="9" width="9" customWidth="1"/>
    <col min="10" max="10" width="9.21875" customWidth="1"/>
    <col min="11" max="11" width="7.33203125" customWidth="1"/>
    <col min="12" max="12" width="10.77734375" customWidth="1"/>
    <col min="14" max="14" width="18.21875" customWidth="1"/>
  </cols>
  <sheetData>
    <row r="1" spans="2:12" x14ac:dyDescent="0.25">
      <c r="B1">
        <v>169</v>
      </c>
      <c r="C1" s="3"/>
      <c r="E1" s="23"/>
      <c r="F1" s="3"/>
      <c r="G1" s="3"/>
      <c r="H1" s="3"/>
    </row>
    <row r="2" spans="2:12" ht="25.5" customHeight="1" x14ac:dyDescent="0.25">
      <c r="B2" s="4" t="s">
        <v>619</v>
      </c>
      <c r="C2" s="4" t="s">
        <v>68</v>
      </c>
      <c r="D2" s="4" t="s">
        <v>603</v>
      </c>
      <c r="E2" s="24" t="s">
        <v>69</v>
      </c>
      <c r="F2" s="4" t="s">
        <v>70</v>
      </c>
      <c r="G2" s="4" t="s">
        <v>71</v>
      </c>
      <c r="H2" s="4" t="s">
        <v>602</v>
      </c>
      <c r="I2" s="14" t="s">
        <v>620</v>
      </c>
      <c r="J2" s="14" t="s">
        <v>621</v>
      </c>
      <c r="K2" s="6" t="s">
        <v>622</v>
      </c>
      <c r="L2" s="6" t="s">
        <v>623</v>
      </c>
    </row>
    <row r="3" spans="2:12" x14ac:dyDescent="0.25">
      <c r="B3" s="4">
        <v>0</v>
      </c>
      <c r="C3" s="1" t="s">
        <v>116</v>
      </c>
      <c r="D3" s="4">
        <v>48</v>
      </c>
      <c r="E3" s="26" t="str">
        <f>VLOOKUP(D3,Standard!$B$2:$D$251,2,FALSE)</f>
        <v>GB/T 713.2-2023</v>
      </c>
      <c r="F3" s="4" t="s">
        <v>0</v>
      </c>
      <c r="G3" s="5">
        <v>7.85</v>
      </c>
      <c r="H3" s="4" t="s">
        <v>110</v>
      </c>
      <c r="I3" s="9">
        <v>-20</v>
      </c>
      <c r="J3" s="9">
        <v>0</v>
      </c>
      <c r="K3" s="9">
        <v>34</v>
      </c>
      <c r="L3" s="15" t="s">
        <v>624</v>
      </c>
    </row>
    <row r="4" spans="2:12" x14ac:dyDescent="0.25">
      <c r="B4" s="4">
        <v>1</v>
      </c>
      <c r="C4" s="1" t="s">
        <v>116</v>
      </c>
      <c r="D4" s="4">
        <v>48</v>
      </c>
      <c r="E4" s="26" t="str">
        <f>VLOOKUP(D4,Standard!$B$2:$D$251,2,FALSE)</f>
        <v>GB/T 713.2-2023</v>
      </c>
      <c r="F4" s="4" t="s">
        <v>1</v>
      </c>
      <c r="G4" s="5">
        <v>7.85</v>
      </c>
      <c r="H4" s="4" t="s">
        <v>110</v>
      </c>
      <c r="I4" s="9">
        <v>-20</v>
      </c>
      <c r="J4" s="9">
        <v>0</v>
      </c>
      <c r="K4" s="9">
        <v>41</v>
      </c>
      <c r="L4" s="15" t="s">
        <v>625</v>
      </c>
    </row>
    <row r="5" spans="2:12" x14ac:dyDescent="0.25">
      <c r="B5" s="4">
        <v>2</v>
      </c>
      <c r="C5" s="1" t="s">
        <v>116</v>
      </c>
      <c r="D5" s="4">
        <v>48</v>
      </c>
      <c r="E5" s="26" t="str">
        <f>VLOOKUP(D5,Standard!$B$2:$D$251,2,FALSE)</f>
        <v>GB/T 713.2-2023</v>
      </c>
      <c r="F5" s="4" t="s">
        <v>11</v>
      </c>
      <c r="G5" s="5">
        <v>7.85</v>
      </c>
      <c r="H5" s="4" t="s">
        <v>110</v>
      </c>
      <c r="I5" s="9">
        <v>-20</v>
      </c>
      <c r="J5" s="9">
        <v>-20</v>
      </c>
      <c r="K5" s="9">
        <v>47</v>
      </c>
      <c r="L5" s="15" t="s">
        <v>626</v>
      </c>
    </row>
    <row r="6" spans="2:12" x14ac:dyDescent="0.25">
      <c r="B6" s="4">
        <v>3</v>
      </c>
      <c r="C6" s="1" t="s">
        <v>116</v>
      </c>
      <c r="D6" s="4">
        <v>48</v>
      </c>
      <c r="E6" s="26" t="str">
        <f>VLOOKUP(D6,Standard!$B$2:$D$251,2,FALSE)</f>
        <v>GB/T 713.2-2023</v>
      </c>
      <c r="F6" s="4" t="s">
        <v>2</v>
      </c>
      <c r="G6" s="5">
        <v>7.85</v>
      </c>
      <c r="H6" s="4" t="s">
        <v>110</v>
      </c>
      <c r="I6" s="9">
        <v>-10</v>
      </c>
      <c r="J6" s="9">
        <v>0</v>
      </c>
      <c r="K6" s="9">
        <v>47</v>
      </c>
      <c r="L6" s="15" t="s">
        <v>627</v>
      </c>
    </row>
    <row r="7" spans="2:12" x14ac:dyDescent="0.25">
      <c r="B7" s="4">
        <v>4</v>
      </c>
      <c r="C7" s="1" t="s">
        <v>116</v>
      </c>
      <c r="D7" s="4">
        <v>48</v>
      </c>
      <c r="E7" s="26" t="str">
        <f>VLOOKUP(D7,Standard!$B$2:$D$251,2,FALSE)</f>
        <v>GB/T 713.2-2023</v>
      </c>
      <c r="F7" s="4" t="s">
        <v>3</v>
      </c>
      <c r="G7" s="5">
        <v>7.85</v>
      </c>
      <c r="H7" s="4" t="s">
        <v>110</v>
      </c>
      <c r="I7" s="9">
        <v>-20</v>
      </c>
      <c r="J7" s="9">
        <v>0</v>
      </c>
      <c r="K7" s="9">
        <v>47</v>
      </c>
      <c r="L7" s="15" t="s">
        <v>626</v>
      </c>
    </row>
    <row r="8" spans="2:12" x14ac:dyDescent="0.25">
      <c r="B8" s="4">
        <v>5</v>
      </c>
      <c r="C8" s="1" t="s">
        <v>116</v>
      </c>
      <c r="D8" s="4">
        <v>48</v>
      </c>
      <c r="E8" s="26" t="str">
        <f>VLOOKUP(D8,Standard!$B$2:$D$251,2,FALSE)</f>
        <v>GB/T 713.2-2023</v>
      </c>
      <c r="F8" s="4" t="s">
        <v>4</v>
      </c>
      <c r="G8" s="5">
        <v>7.85</v>
      </c>
      <c r="H8" s="4" t="s">
        <v>110</v>
      </c>
      <c r="I8" s="9">
        <v>-20</v>
      </c>
      <c r="J8" s="9">
        <v>20</v>
      </c>
      <c r="K8" s="9">
        <v>47</v>
      </c>
      <c r="L8" s="15" t="s">
        <v>628</v>
      </c>
    </row>
    <row r="9" spans="2:12" x14ac:dyDescent="0.25">
      <c r="B9" s="4">
        <v>6</v>
      </c>
      <c r="C9" s="1" t="s">
        <v>116</v>
      </c>
      <c r="D9" s="4">
        <v>48</v>
      </c>
      <c r="E9" s="26" t="str">
        <f>VLOOKUP(D9,Standard!$B$2:$D$251,2,FALSE)</f>
        <v>GB/T 713.2-2023</v>
      </c>
      <c r="F9" s="4" t="s">
        <v>12</v>
      </c>
      <c r="G9" s="5">
        <v>7.85</v>
      </c>
      <c r="H9" s="4" t="s">
        <v>110</v>
      </c>
      <c r="I9" s="9">
        <v>-20</v>
      </c>
      <c r="J9" s="9">
        <v>20</v>
      </c>
      <c r="K9" s="9">
        <v>47</v>
      </c>
      <c r="L9" s="15" t="s">
        <v>629</v>
      </c>
    </row>
    <row r="10" spans="2:12" x14ac:dyDescent="0.25">
      <c r="B10" s="4">
        <v>7</v>
      </c>
      <c r="C10" s="1" t="s">
        <v>116</v>
      </c>
      <c r="D10" s="4">
        <v>48</v>
      </c>
      <c r="E10" s="26" t="str">
        <f>VLOOKUP(D10,Standard!$B$2:$D$251,2,FALSE)</f>
        <v>GB/T 713.2-2023</v>
      </c>
      <c r="F10" s="4" t="s">
        <v>5</v>
      </c>
      <c r="G10" s="5">
        <v>7.85</v>
      </c>
      <c r="H10" s="4" t="s">
        <v>110</v>
      </c>
      <c r="I10" s="9">
        <v>-20</v>
      </c>
      <c r="J10" s="9">
        <v>20</v>
      </c>
      <c r="K10" s="9">
        <v>47</v>
      </c>
      <c r="L10" s="15" t="s">
        <v>630</v>
      </c>
    </row>
    <row r="11" spans="2:12" x14ac:dyDescent="0.25">
      <c r="B11" s="4">
        <v>8</v>
      </c>
      <c r="C11" s="1" t="s">
        <v>116</v>
      </c>
      <c r="D11" s="4">
        <v>48</v>
      </c>
      <c r="E11" s="26" t="str">
        <f>VLOOKUP(D11,Standard!$B$2:$D$251,2,FALSE)</f>
        <v>GB/T 713.2-2023</v>
      </c>
      <c r="F11" s="4" t="s">
        <v>13</v>
      </c>
      <c r="G11" s="5">
        <v>7.85</v>
      </c>
      <c r="H11" s="4" t="s">
        <v>110</v>
      </c>
      <c r="I11" s="9">
        <v>-20</v>
      </c>
      <c r="J11" s="9">
        <v>-20</v>
      </c>
      <c r="K11" s="9">
        <v>60</v>
      </c>
      <c r="L11" s="15" t="s">
        <v>631</v>
      </c>
    </row>
    <row r="12" spans="2:12" x14ac:dyDescent="0.25">
      <c r="B12" s="4">
        <v>9</v>
      </c>
      <c r="C12" s="1" t="s">
        <v>116</v>
      </c>
      <c r="D12" s="4">
        <v>49</v>
      </c>
      <c r="E12" s="26" t="str">
        <f>VLOOKUP(D12,Standard!$B$2:$D$251,2,FALSE)</f>
        <v>GB/T 713.3-2023</v>
      </c>
      <c r="F12" s="4" t="s">
        <v>6</v>
      </c>
      <c r="G12" s="5">
        <v>7.85</v>
      </c>
      <c r="H12" s="4" t="s">
        <v>110</v>
      </c>
      <c r="I12" s="9">
        <v>-40</v>
      </c>
      <c r="J12" s="9">
        <v>-30</v>
      </c>
      <c r="K12" s="9">
        <v>47</v>
      </c>
      <c r="L12" s="15" t="s">
        <v>632</v>
      </c>
    </row>
    <row r="13" spans="2:12" x14ac:dyDescent="0.25">
      <c r="B13" s="4">
        <v>10</v>
      </c>
      <c r="C13" s="1" t="s">
        <v>116</v>
      </c>
      <c r="D13" s="4">
        <v>49</v>
      </c>
      <c r="E13" s="26" t="str">
        <f>VLOOKUP(D13,Standard!$B$2:$D$251,2,FALSE)</f>
        <v>GB/T 713.3-2023</v>
      </c>
      <c r="F13" s="4" t="s">
        <v>14</v>
      </c>
      <c r="G13" s="5">
        <v>7.85</v>
      </c>
      <c r="H13" s="4" t="s">
        <v>110</v>
      </c>
      <c r="I13" s="9">
        <v>-45</v>
      </c>
      <c r="J13" s="9">
        <v>-45</v>
      </c>
      <c r="K13" s="9">
        <v>60</v>
      </c>
      <c r="L13" s="15" t="s">
        <v>633</v>
      </c>
    </row>
    <row r="14" spans="2:12" x14ac:dyDescent="0.25">
      <c r="B14" s="4">
        <v>11</v>
      </c>
      <c r="C14" s="1" t="s">
        <v>116</v>
      </c>
      <c r="D14" s="4">
        <v>49</v>
      </c>
      <c r="E14" s="26" t="str">
        <f>VLOOKUP(D14,Standard!$B$2:$D$251,2,FALSE)</f>
        <v>GB/T 713.3-2023</v>
      </c>
      <c r="F14" s="4" t="s">
        <v>15</v>
      </c>
      <c r="G14" s="5">
        <v>7.85</v>
      </c>
      <c r="H14" s="4" t="s">
        <v>110</v>
      </c>
      <c r="I14" s="9">
        <v>-50</v>
      </c>
      <c r="J14" s="9">
        <v>-50</v>
      </c>
      <c r="K14" s="9">
        <v>60</v>
      </c>
      <c r="L14" s="15" t="s">
        <v>634</v>
      </c>
    </row>
    <row r="15" spans="2:12" x14ac:dyDescent="0.25">
      <c r="B15" s="4">
        <v>12</v>
      </c>
      <c r="C15" s="1" t="s">
        <v>116</v>
      </c>
      <c r="D15" s="4">
        <v>49</v>
      </c>
      <c r="E15" s="26" t="str">
        <f>VLOOKUP(D15,Standard!$B$2:$D$251,2,FALSE)</f>
        <v>GB/T 713.3-2023</v>
      </c>
      <c r="F15" s="4" t="s">
        <v>16</v>
      </c>
      <c r="G15" s="5">
        <v>7.85</v>
      </c>
      <c r="H15" s="4" t="s">
        <v>110</v>
      </c>
      <c r="I15" s="9">
        <v>-70</v>
      </c>
      <c r="J15" s="9">
        <v>-70</v>
      </c>
      <c r="K15" s="9">
        <v>60</v>
      </c>
      <c r="L15" s="15" t="s">
        <v>635</v>
      </c>
    </row>
    <row r="16" spans="2:12" x14ac:dyDescent="0.25">
      <c r="B16" s="4">
        <v>13</v>
      </c>
      <c r="C16" s="1" t="s">
        <v>116</v>
      </c>
      <c r="D16" s="4">
        <v>49</v>
      </c>
      <c r="E16" s="26" t="str">
        <f>VLOOKUP(D16,Standard!$B$2:$D$251,2,FALSE)</f>
        <v>GB/T 713.3-2023</v>
      </c>
      <c r="F16" s="4" t="s">
        <v>7</v>
      </c>
      <c r="G16" s="5">
        <v>7.85</v>
      </c>
      <c r="H16" s="4" t="s">
        <v>110</v>
      </c>
      <c r="I16" s="9">
        <v>-100</v>
      </c>
      <c r="J16" s="9">
        <v>-100</v>
      </c>
      <c r="K16" s="9">
        <v>60</v>
      </c>
      <c r="L16" s="15" t="s">
        <v>636</v>
      </c>
    </row>
    <row r="17" spans="2:12" x14ac:dyDescent="0.25">
      <c r="B17" s="4">
        <v>14</v>
      </c>
      <c r="C17" s="1" t="s">
        <v>116</v>
      </c>
      <c r="D17" s="4">
        <v>49</v>
      </c>
      <c r="E17" s="26" t="str">
        <f>VLOOKUP(D17,Standard!$B$2:$D$251,2,FALSE)</f>
        <v>GB/T 713.3-2023</v>
      </c>
      <c r="F17" s="4" t="s">
        <v>8</v>
      </c>
      <c r="G17" s="5">
        <v>7.89</v>
      </c>
      <c r="H17" s="4" t="s">
        <v>110</v>
      </c>
      <c r="I17" s="9">
        <v>-196</v>
      </c>
      <c r="J17" s="9">
        <v>-196</v>
      </c>
      <c r="K17" s="9">
        <v>100</v>
      </c>
      <c r="L17" s="15"/>
    </row>
    <row r="18" spans="2:12" x14ac:dyDescent="0.25">
      <c r="B18" s="4">
        <v>15</v>
      </c>
      <c r="C18" s="1" t="s">
        <v>116</v>
      </c>
      <c r="D18" s="4">
        <v>33</v>
      </c>
      <c r="E18" s="26" t="str">
        <f>VLOOKUP(D18,Standard!$B$2:$D$251,2,FALSE)</f>
        <v>GB/T 713.6-2023</v>
      </c>
      <c r="F18" s="4" t="s">
        <v>17</v>
      </c>
      <c r="G18" s="5">
        <v>7.85</v>
      </c>
      <c r="H18" s="4" t="s">
        <v>110</v>
      </c>
      <c r="I18" s="9">
        <v>-20</v>
      </c>
      <c r="J18" s="9">
        <v>-20</v>
      </c>
      <c r="K18" s="9">
        <v>80</v>
      </c>
      <c r="L18" s="15"/>
    </row>
    <row r="19" spans="2:12" x14ac:dyDescent="0.25">
      <c r="B19" s="4">
        <v>16</v>
      </c>
      <c r="C19" s="1" t="s">
        <v>116</v>
      </c>
      <c r="D19" s="4">
        <v>33</v>
      </c>
      <c r="E19" s="26" t="str">
        <f>VLOOKUP(D19,Standard!$B$2:$D$251,2,FALSE)</f>
        <v>GB/T 713.6-2023</v>
      </c>
      <c r="F19" s="4" t="s">
        <v>9</v>
      </c>
      <c r="G19" s="5">
        <v>7.85</v>
      </c>
      <c r="H19" s="4" t="s">
        <v>110</v>
      </c>
      <c r="I19" s="9">
        <v>-40</v>
      </c>
      <c r="J19" s="9">
        <v>-40</v>
      </c>
      <c r="K19" s="9">
        <v>80</v>
      </c>
      <c r="L19" s="15"/>
    </row>
    <row r="20" spans="2:12" x14ac:dyDescent="0.25">
      <c r="B20" s="4">
        <v>17</v>
      </c>
      <c r="C20" s="1" t="s">
        <v>117</v>
      </c>
      <c r="D20" s="4">
        <v>33</v>
      </c>
      <c r="E20" s="26" t="str">
        <f>VLOOKUP(D20,Standard!$B$2:$D$251,2,FALSE)</f>
        <v>GB/T 713.6-2023</v>
      </c>
      <c r="F20" s="4" t="s">
        <v>10</v>
      </c>
      <c r="G20" s="5">
        <v>7.85</v>
      </c>
      <c r="H20" s="4" t="s">
        <v>110</v>
      </c>
      <c r="I20" s="9">
        <v>-50</v>
      </c>
      <c r="J20" s="9">
        <v>-50</v>
      </c>
      <c r="K20" s="9">
        <v>80</v>
      </c>
      <c r="L20" s="15"/>
    </row>
    <row r="21" spans="2:12" x14ac:dyDescent="0.25">
      <c r="B21" s="4">
        <v>18</v>
      </c>
      <c r="C21" s="1" t="s">
        <v>117</v>
      </c>
      <c r="D21" s="4">
        <v>33</v>
      </c>
      <c r="E21" s="26" t="str">
        <f>VLOOKUP(D21,Standard!$B$2:$D$251,2,FALSE)</f>
        <v>GB/T 713.6-2023</v>
      </c>
      <c r="F21" s="4" t="s">
        <v>18</v>
      </c>
      <c r="G21" s="5">
        <v>7.85</v>
      </c>
      <c r="H21" s="4" t="s">
        <v>110</v>
      </c>
      <c r="I21" s="9">
        <v>-20</v>
      </c>
      <c r="J21" s="9">
        <v>-20</v>
      </c>
      <c r="K21" s="9">
        <v>80</v>
      </c>
      <c r="L21" s="15"/>
    </row>
    <row r="22" spans="2:12" x14ac:dyDescent="0.25">
      <c r="B22" s="4">
        <v>19</v>
      </c>
      <c r="C22" s="1" t="s">
        <v>127</v>
      </c>
      <c r="D22" s="4">
        <v>37</v>
      </c>
      <c r="E22" s="26" t="str">
        <f>VLOOKUP(D22,Standard!$B$2:$D$251,2,FALSE)</f>
        <v>GB/T 713.7-2023</v>
      </c>
      <c r="F22" s="4" t="s">
        <v>19</v>
      </c>
      <c r="G22" s="5">
        <v>7.75</v>
      </c>
      <c r="H22" s="4" t="s">
        <v>111</v>
      </c>
      <c r="I22" s="7"/>
      <c r="J22" s="7"/>
      <c r="K22" s="7"/>
      <c r="L22" s="7"/>
    </row>
    <row r="23" spans="2:12" x14ac:dyDescent="0.25">
      <c r="B23" s="4">
        <v>20</v>
      </c>
      <c r="C23" s="1" t="s">
        <v>116</v>
      </c>
      <c r="D23" s="4">
        <v>37</v>
      </c>
      <c r="E23" s="26" t="str">
        <f>VLOOKUP(D23,Standard!$B$2:$D$251,2,FALSE)</f>
        <v>GB/T 713.7-2023</v>
      </c>
      <c r="F23" s="4" t="s">
        <v>20</v>
      </c>
      <c r="G23" s="5">
        <v>7.75</v>
      </c>
      <c r="H23" s="4" t="s">
        <v>111</v>
      </c>
      <c r="I23" s="7"/>
      <c r="J23" s="7"/>
      <c r="K23" s="7"/>
      <c r="L23" s="7"/>
    </row>
    <row r="24" spans="2:12" x14ac:dyDescent="0.25">
      <c r="B24" s="4">
        <v>21</v>
      </c>
      <c r="C24" s="1" t="s">
        <v>116</v>
      </c>
      <c r="D24" s="4">
        <v>37</v>
      </c>
      <c r="E24" s="26" t="str">
        <f>VLOOKUP(D24,Standard!$B$2:$D$251,2,FALSE)</f>
        <v>GB/T 713.7-2023</v>
      </c>
      <c r="F24" s="4" t="s">
        <v>21</v>
      </c>
      <c r="G24" s="5">
        <v>7.75</v>
      </c>
      <c r="H24" s="4" t="s">
        <v>111</v>
      </c>
      <c r="I24" s="7"/>
      <c r="J24" s="7"/>
      <c r="K24" s="7"/>
      <c r="L24" s="7"/>
    </row>
    <row r="25" spans="2:12" x14ac:dyDescent="0.25">
      <c r="B25" s="4">
        <v>22</v>
      </c>
      <c r="C25" s="1" t="s">
        <v>116</v>
      </c>
      <c r="D25" s="4">
        <v>37</v>
      </c>
      <c r="E25" s="26" t="str">
        <f>VLOOKUP(D25,Standard!$B$2:$D$251,2,FALSE)</f>
        <v>GB/T 713.7-2023</v>
      </c>
      <c r="F25" s="4" t="s">
        <v>22</v>
      </c>
      <c r="G25" s="5">
        <v>7.7</v>
      </c>
      <c r="H25" s="4" t="s">
        <v>111</v>
      </c>
      <c r="I25" s="7"/>
      <c r="J25" s="7"/>
      <c r="K25" s="7"/>
      <c r="L25" s="7"/>
    </row>
    <row r="26" spans="2:12" x14ac:dyDescent="0.25">
      <c r="B26" s="4">
        <v>23</v>
      </c>
      <c r="C26" s="1" t="s">
        <v>116</v>
      </c>
      <c r="D26" s="4">
        <v>37</v>
      </c>
      <c r="E26" s="26" t="str">
        <f>VLOOKUP(D26,Standard!$B$2:$D$251,2,FALSE)</f>
        <v>GB/T 713.7-2023</v>
      </c>
      <c r="F26" s="4" t="s">
        <v>23</v>
      </c>
      <c r="G26" s="5">
        <v>7.8</v>
      </c>
      <c r="H26" s="4" t="s">
        <v>111</v>
      </c>
      <c r="I26" s="7"/>
      <c r="J26" s="7"/>
      <c r="K26" s="7"/>
      <c r="L26" s="15" t="s">
        <v>637</v>
      </c>
    </row>
    <row r="27" spans="2:12" x14ac:dyDescent="0.25">
      <c r="B27" s="4">
        <v>24</v>
      </c>
      <c r="C27" s="1" t="s">
        <v>116</v>
      </c>
      <c r="D27" s="4">
        <v>37</v>
      </c>
      <c r="E27" s="26" t="str">
        <f>VLOOKUP(D27,Standard!$B$2:$D$251,2,FALSE)</f>
        <v>GB/T 713.7-2023</v>
      </c>
      <c r="F27" s="4" t="s">
        <v>24</v>
      </c>
      <c r="G27" s="5">
        <v>7.8</v>
      </c>
      <c r="H27" s="4" t="s">
        <v>111</v>
      </c>
      <c r="I27" s="7"/>
      <c r="J27" s="7"/>
      <c r="K27" s="7"/>
      <c r="L27" s="15" t="s">
        <v>638</v>
      </c>
    </row>
    <row r="28" spans="2:12" x14ac:dyDescent="0.25">
      <c r="B28" s="4">
        <v>25</v>
      </c>
      <c r="C28" s="1" t="s">
        <v>116</v>
      </c>
      <c r="D28" s="4">
        <v>37</v>
      </c>
      <c r="E28" s="26" t="str">
        <f>VLOOKUP(D28,Standard!$B$2:$D$251,2,FALSE)</f>
        <v>GB/T 713.7-2023</v>
      </c>
      <c r="F28" s="4" t="s">
        <v>25</v>
      </c>
      <c r="G28" s="5">
        <v>7.93</v>
      </c>
      <c r="H28" s="4" t="s">
        <v>111</v>
      </c>
      <c r="I28" s="7"/>
      <c r="J28" s="7"/>
      <c r="K28" s="7"/>
      <c r="L28" s="15" t="s">
        <v>639</v>
      </c>
    </row>
    <row r="29" spans="2:12" x14ac:dyDescent="0.25">
      <c r="B29" s="4">
        <v>26</v>
      </c>
      <c r="C29" s="1" t="s">
        <v>116</v>
      </c>
      <c r="D29" s="4">
        <v>37</v>
      </c>
      <c r="E29" s="26" t="str">
        <f>VLOOKUP(D29,Standard!$B$2:$D$251,2,FALSE)</f>
        <v>GB/T 713.7-2023</v>
      </c>
      <c r="F29" s="4" t="s">
        <v>26</v>
      </c>
      <c r="G29" s="5">
        <v>7.9</v>
      </c>
      <c r="H29" s="4" t="s">
        <v>111</v>
      </c>
      <c r="I29" s="7"/>
      <c r="J29" s="7"/>
      <c r="K29" s="7"/>
      <c r="L29" s="15" t="s">
        <v>640</v>
      </c>
    </row>
    <row r="30" spans="2:12" x14ac:dyDescent="0.25">
      <c r="B30" s="4">
        <v>27</v>
      </c>
      <c r="C30" s="1" t="s">
        <v>116</v>
      </c>
      <c r="D30" s="4">
        <v>37</v>
      </c>
      <c r="E30" s="26" t="str">
        <f>VLOOKUP(D30,Standard!$B$2:$D$251,2,FALSE)</f>
        <v>GB/T 713.7-2023</v>
      </c>
      <c r="F30" s="4" t="s">
        <v>27</v>
      </c>
      <c r="G30" s="5">
        <v>7.9</v>
      </c>
      <c r="H30" s="4" t="s">
        <v>111</v>
      </c>
      <c r="I30" s="7"/>
      <c r="J30" s="7"/>
      <c r="K30" s="7"/>
      <c r="L30" s="15" t="s">
        <v>641</v>
      </c>
    </row>
    <row r="31" spans="2:12" x14ac:dyDescent="0.25">
      <c r="B31" s="4">
        <v>28</v>
      </c>
      <c r="C31" s="1" t="s">
        <v>116</v>
      </c>
      <c r="D31" s="4">
        <v>37</v>
      </c>
      <c r="E31" s="26" t="str">
        <f>VLOOKUP(D31,Standard!$B$2:$D$251,2,FALSE)</f>
        <v>GB/T 713.7-2023</v>
      </c>
      <c r="F31" s="4" t="s">
        <v>28</v>
      </c>
      <c r="G31" s="5">
        <v>7.98</v>
      </c>
      <c r="H31" s="4" t="s">
        <v>111</v>
      </c>
      <c r="I31" s="7"/>
      <c r="J31" s="7"/>
      <c r="K31" s="7"/>
      <c r="L31" s="15" t="s">
        <v>642</v>
      </c>
    </row>
    <row r="32" spans="2:12" x14ac:dyDescent="0.25">
      <c r="B32" s="4">
        <v>29</v>
      </c>
      <c r="C32" s="1" t="s">
        <v>116</v>
      </c>
      <c r="D32" s="4">
        <v>37</v>
      </c>
      <c r="E32" s="26" t="str">
        <f>VLOOKUP(D32,Standard!$B$2:$D$251,2,FALSE)</f>
        <v>GB/T 713.7-2023</v>
      </c>
      <c r="F32" s="6" t="s">
        <v>29</v>
      </c>
      <c r="G32" s="5">
        <v>8</v>
      </c>
      <c r="H32" s="4" t="s">
        <v>111</v>
      </c>
      <c r="I32" s="7"/>
      <c r="J32" s="7"/>
      <c r="K32" s="7"/>
      <c r="L32" s="15" t="s">
        <v>643</v>
      </c>
    </row>
    <row r="33" spans="2:16" x14ac:dyDescent="0.25">
      <c r="B33" s="4">
        <v>30</v>
      </c>
      <c r="C33" s="1" t="s">
        <v>116</v>
      </c>
      <c r="D33" s="4">
        <v>37</v>
      </c>
      <c r="E33" s="26" t="str">
        <f>VLOOKUP(D33,Standard!$B$2:$D$251,2,FALSE)</f>
        <v>GB/T 713.7-2023</v>
      </c>
      <c r="F33" s="6" t="s">
        <v>30</v>
      </c>
      <c r="G33" s="5">
        <v>8</v>
      </c>
      <c r="H33" s="4" t="s">
        <v>111</v>
      </c>
      <c r="I33" s="7"/>
      <c r="J33" s="7"/>
      <c r="K33" s="7"/>
      <c r="L33" s="15" t="s">
        <v>644</v>
      </c>
    </row>
    <row r="34" spans="2:16" x14ac:dyDescent="0.25">
      <c r="B34" s="4">
        <v>31</v>
      </c>
      <c r="C34" s="1" t="s">
        <v>116</v>
      </c>
      <c r="D34" s="4">
        <v>37</v>
      </c>
      <c r="E34" s="26" t="str">
        <f>VLOOKUP(D34,Standard!$B$2:$D$251,2,FALSE)</f>
        <v>GB/T 713.7-2023</v>
      </c>
      <c r="F34" s="6" t="s">
        <v>31</v>
      </c>
      <c r="G34" s="5">
        <v>7.9</v>
      </c>
      <c r="H34" s="4" t="s">
        <v>111</v>
      </c>
      <c r="I34" s="7"/>
      <c r="J34" s="7"/>
      <c r="K34" s="7"/>
      <c r="L34" s="15" t="s">
        <v>645</v>
      </c>
    </row>
    <row r="35" spans="2:16" x14ac:dyDescent="0.25">
      <c r="B35" s="4">
        <v>32</v>
      </c>
      <c r="C35" s="1" t="s">
        <v>116</v>
      </c>
      <c r="D35" s="4">
        <v>37</v>
      </c>
      <c r="E35" s="26" t="str">
        <f>VLOOKUP(D35,Standard!$B$2:$D$251,2,FALSE)</f>
        <v>GB/T 713.7-2023</v>
      </c>
      <c r="F35" s="6" t="s">
        <v>32</v>
      </c>
      <c r="G35" s="5">
        <v>8</v>
      </c>
      <c r="H35" s="4" t="s">
        <v>111</v>
      </c>
      <c r="I35" s="7"/>
      <c r="J35" s="7"/>
      <c r="K35" s="7"/>
      <c r="L35" s="15" t="s">
        <v>646</v>
      </c>
    </row>
    <row r="36" spans="2:16" x14ac:dyDescent="0.25">
      <c r="B36" s="4">
        <v>33</v>
      </c>
      <c r="C36" s="1" t="s">
        <v>116</v>
      </c>
      <c r="D36" s="4">
        <v>37</v>
      </c>
      <c r="E36" s="26" t="str">
        <f>VLOOKUP(D36,Standard!$B$2:$D$251,2,FALSE)</f>
        <v>GB/T 713.7-2023</v>
      </c>
      <c r="F36" s="6" t="s">
        <v>33</v>
      </c>
      <c r="G36" s="5">
        <v>7.98</v>
      </c>
      <c r="H36" s="4" t="s">
        <v>111</v>
      </c>
      <c r="I36" s="7"/>
      <c r="J36" s="7"/>
      <c r="K36" s="7"/>
      <c r="L36" s="15" t="s">
        <v>647</v>
      </c>
      <c r="P36" t="s">
        <v>697</v>
      </c>
    </row>
    <row r="37" spans="2:16" x14ac:dyDescent="0.25">
      <c r="B37" s="4">
        <v>34</v>
      </c>
      <c r="C37" s="1" t="s">
        <v>117</v>
      </c>
      <c r="D37" s="4">
        <v>37</v>
      </c>
      <c r="E37" s="26" t="str">
        <f>VLOOKUP(D37,Standard!$B$2:$D$251,2,FALSE)</f>
        <v>GB/T 713.7-2023</v>
      </c>
      <c r="F37" s="6" t="s">
        <v>34</v>
      </c>
      <c r="G37" s="5">
        <v>8</v>
      </c>
      <c r="H37" s="4" t="s">
        <v>111</v>
      </c>
      <c r="I37" s="7"/>
      <c r="J37" s="7"/>
      <c r="K37" s="7"/>
      <c r="L37" s="15" t="s">
        <v>648</v>
      </c>
    </row>
    <row r="38" spans="2:16" x14ac:dyDescent="0.25">
      <c r="B38" s="4">
        <v>35</v>
      </c>
      <c r="C38" s="1" t="s">
        <v>128</v>
      </c>
      <c r="D38" s="4">
        <v>37</v>
      </c>
      <c r="E38" s="26" t="str">
        <f>VLOOKUP(D38,Standard!$B$2:$D$251,2,FALSE)</f>
        <v>GB/T 713.7-2023</v>
      </c>
      <c r="F38" s="6" t="s">
        <v>35</v>
      </c>
      <c r="G38" s="5">
        <v>8</v>
      </c>
      <c r="H38" s="4" t="s">
        <v>111</v>
      </c>
      <c r="I38" s="7"/>
      <c r="J38" s="7"/>
      <c r="K38" s="7"/>
      <c r="L38" s="15" t="s">
        <v>649</v>
      </c>
      <c r="P38" t="s">
        <v>699</v>
      </c>
    </row>
    <row r="39" spans="2:16" x14ac:dyDescent="0.25">
      <c r="B39" s="4">
        <v>36</v>
      </c>
      <c r="C39" s="1" t="s">
        <v>36</v>
      </c>
      <c r="D39" s="4">
        <v>60</v>
      </c>
      <c r="E39" s="24" t="str">
        <f>VLOOKUP(D39,Standard!$B$2:$D$251,2,FALSE)</f>
        <v>GB/T 8163-2008</v>
      </c>
      <c r="F39" s="6">
        <v>10</v>
      </c>
      <c r="G39" s="5">
        <v>7.85</v>
      </c>
      <c r="H39" s="4" t="s">
        <v>110</v>
      </c>
      <c r="I39" s="9">
        <v>-10</v>
      </c>
      <c r="J39" s="9"/>
      <c r="K39" s="9">
        <v>31</v>
      </c>
      <c r="L39" s="15"/>
      <c r="N39" t="str">
        <f>VLOOKUP(D39,Standard!$B$2:$D$251,3,FALSE)</f>
        <v>输送流体用无缝钢管</v>
      </c>
    </row>
    <row r="40" spans="2:16" x14ac:dyDescent="0.25">
      <c r="B40" s="4">
        <v>37</v>
      </c>
      <c r="C40" s="1" t="s">
        <v>36</v>
      </c>
      <c r="D40" s="4">
        <v>60</v>
      </c>
      <c r="E40" s="24" t="str">
        <f>VLOOKUP(D40,Standard!$B$2:$D$251,2,FALSE)</f>
        <v>GB/T 8163-2008</v>
      </c>
      <c r="F40" s="6">
        <v>20</v>
      </c>
      <c r="G40" s="5">
        <v>7.85</v>
      </c>
      <c r="H40" s="4" t="s">
        <v>110</v>
      </c>
      <c r="I40" s="9">
        <v>0</v>
      </c>
      <c r="J40" s="9"/>
      <c r="K40" s="9">
        <v>31</v>
      </c>
      <c r="L40" s="15"/>
    </row>
    <row r="41" spans="2:16" x14ac:dyDescent="0.25">
      <c r="B41" s="4">
        <v>38</v>
      </c>
      <c r="C41" s="1" t="s">
        <v>36</v>
      </c>
      <c r="D41" s="4">
        <v>60</v>
      </c>
      <c r="E41" s="24" t="str">
        <f>VLOOKUP(D41,Standard!$B$2:$D$251,2,FALSE)</f>
        <v>GB/T 8163-2008</v>
      </c>
      <c r="F41" s="6" t="s">
        <v>37</v>
      </c>
      <c r="G41" s="5">
        <v>7.85</v>
      </c>
      <c r="H41" s="4" t="s">
        <v>110</v>
      </c>
      <c r="I41" s="9">
        <v>-20</v>
      </c>
      <c r="J41" s="9"/>
      <c r="K41" s="9">
        <v>34</v>
      </c>
      <c r="L41" s="15"/>
    </row>
    <row r="42" spans="2:16" x14ac:dyDescent="0.25">
      <c r="B42" s="4">
        <v>39</v>
      </c>
      <c r="C42" s="1" t="s">
        <v>36</v>
      </c>
      <c r="D42" s="4">
        <v>76</v>
      </c>
      <c r="E42" s="24" t="str">
        <f>VLOOKUP(D42,Standard!$B$2:$D$251,2,FALSE)</f>
        <v>GB/T 9948-2013</v>
      </c>
      <c r="F42" s="16">
        <v>10</v>
      </c>
      <c r="G42" s="5">
        <v>7.85</v>
      </c>
      <c r="H42" s="4" t="s">
        <v>110</v>
      </c>
      <c r="I42" s="9">
        <v>-20</v>
      </c>
      <c r="J42" s="9"/>
      <c r="K42" s="9">
        <v>34</v>
      </c>
      <c r="L42" s="7"/>
    </row>
    <row r="43" spans="2:16" x14ac:dyDescent="0.25">
      <c r="B43" s="4">
        <v>40</v>
      </c>
      <c r="C43" s="1" t="s">
        <v>36</v>
      </c>
      <c r="D43" s="4">
        <v>76</v>
      </c>
      <c r="E43" s="24" t="str">
        <f>VLOOKUP(D43,Standard!$B$2:$D$251,2,FALSE)</f>
        <v>GB/T 9948-2013</v>
      </c>
      <c r="F43" s="16">
        <v>20</v>
      </c>
      <c r="G43" s="5">
        <v>7.85</v>
      </c>
      <c r="H43" s="4" t="s">
        <v>110</v>
      </c>
      <c r="I43" s="9">
        <v>0</v>
      </c>
      <c r="J43" s="9"/>
      <c r="K43" s="9">
        <v>34</v>
      </c>
      <c r="L43" s="7"/>
      <c r="N43" t="str">
        <f>VLOOKUP(D43,Standard!$B$2:$D$251,3,FALSE)</f>
        <v>石油裂化用无缝钢管</v>
      </c>
    </row>
    <row r="44" spans="2:16" x14ac:dyDescent="0.25">
      <c r="B44" s="4">
        <v>41</v>
      </c>
      <c r="C44" s="1" t="s">
        <v>36</v>
      </c>
      <c r="D44" s="4">
        <v>76</v>
      </c>
      <c r="E44" s="24" t="str">
        <f>VLOOKUP(D44,Standard!$B$2:$D$251,2,FALSE)</f>
        <v>GB/T 9948-2013</v>
      </c>
      <c r="F44" s="16" t="s">
        <v>650</v>
      </c>
      <c r="G44" s="5">
        <v>7.85</v>
      </c>
      <c r="H44" s="4" t="s">
        <v>110</v>
      </c>
      <c r="I44" s="13">
        <v>-20</v>
      </c>
      <c r="J44" s="13"/>
      <c r="K44" s="13">
        <v>34</v>
      </c>
      <c r="L44" s="7"/>
    </row>
    <row r="45" spans="2:16" x14ac:dyDescent="0.25">
      <c r="B45" s="4">
        <v>42</v>
      </c>
      <c r="C45" s="1" t="s">
        <v>36</v>
      </c>
      <c r="D45" s="4">
        <v>76</v>
      </c>
      <c r="E45" s="24" t="str">
        <f>VLOOKUP(D45,Standard!$B$2:$D$251,2,FALSE)</f>
        <v>GB/T 9948-2013</v>
      </c>
      <c r="F45" s="16" t="s">
        <v>651</v>
      </c>
      <c r="G45" s="5">
        <v>7.85</v>
      </c>
      <c r="H45" s="4" t="s">
        <v>110</v>
      </c>
      <c r="I45" s="13">
        <v>-20</v>
      </c>
      <c r="J45" s="13"/>
      <c r="K45" s="13">
        <v>34</v>
      </c>
      <c r="L45" s="7"/>
    </row>
    <row r="46" spans="2:16" x14ac:dyDescent="0.25">
      <c r="B46" s="4">
        <v>43</v>
      </c>
      <c r="C46" s="1" t="s">
        <v>36</v>
      </c>
      <c r="D46" s="4">
        <v>76</v>
      </c>
      <c r="E46" s="24" t="str">
        <f>VLOOKUP(D46,Standard!$B$2:$D$251,2,FALSE)</f>
        <v>GB/T 9948-2013</v>
      </c>
      <c r="F46" s="16" t="s">
        <v>652</v>
      </c>
      <c r="G46" s="5">
        <v>7.85</v>
      </c>
      <c r="H46" s="4" t="s">
        <v>110</v>
      </c>
      <c r="I46" s="13">
        <v>-20</v>
      </c>
      <c r="J46" s="13"/>
      <c r="K46" s="13">
        <v>40</v>
      </c>
      <c r="L46" s="7"/>
    </row>
    <row r="47" spans="2:16" x14ac:dyDescent="0.25">
      <c r="B47" s="4">
        <v>44</v>
      </c>
      <c r="C47" s="1" t="s">
        <v>36</v>
      </c>
      <c r="D47" s="4">
        <v>76</v>
      </c>
      <c r="E47" s="24" t="str">
        <f>VLOOKUP(D47,Standard!$B$2:$D$251,2,FALSE)</f>
        <v>GB/T 9948-2013</v>
      </c>
      <c r="F47" s="16" t="s">
        <v>653</v>
      </c>
      <c r="G47" s="5">
        <v>7.85</v>
      </c>
      <c r="H47" s="4" t="s">
        <v>110</v>
      </c>
      <c r="I47" s="13">
        <v>-20</v>
      </c>
      <c r="J47" s="13"/>
      <c r="K47" s="13">
        <v>40</v>
      </c>
      <c r="L47" s="7"/>
    </row>
    <row r="48" spans="2:16" x14ac:dyDescent="0.25">
      <c r="B48" s="4">
        <v>45</v>
      </c>
      <c r="C48" s="1" t="s">
        <v>36</v>
      </c>
      <c r="D48" s="4">
        <v>76</v>
      </c>
      <c r="E48" s="24" t="str">
        <f>VLOOKUP(D48,Standard!$B$2:$D$251,2,FALSE)</f>
        <v>GB/T 9948-2013</v>
      </c>
      <c r="F48" s="16" t="s">
        <v>654</v>
      </c>
      <c r="G48" s="5">
        <v>7.85</v>
      </c>
      <c r="H48" s="4" t="s">
        <v>110</v>
      </c>
      <c r="I48" s="13">
        <v>-20</v>
      </c>
      <c r="J48" s="13"/>
      <c r="K48" s="13">
        <v>34</v>
      </c>
      <c r="L48" s="7"/>
    </row>
    <row r="49" spans="2:14" x14ac:dyDescent="0.25">
      <c r="B49" s="4">
        <v>46</v>
      </c>
      <c r="C49" s="1" t="s">
        <v>36</v>
      </c>
      <c r="D49" s="4">
        <v>56</v>
      </c>
      <c r="E49" s="24" t="str">
        <f>VLOOKUP(D49,Standard!$B$2:$D$251,2,FALSE)</f>
        <v>GB/T 6479-2013</v>
      </c>
      <c r="F49" s="16" t="s">
        <v>660</v>
      </c>
      <c r="G49" s="5">
        <v>7.85</v>
      </c>
      <c r="H49" s="4" t="s">
        <v>110</v>
      </c>
      <c r="I49" s="13">
        <v>-20</v>
      </c>
      <c r="J49" s="13"/>
      <c r="K49" s="13">
        <v>34</v>
      </c>
      <c r="L49" s="7"/>
    </row>
    <row r="50" spans="2:14" x14ac:dyDescent="0.25">
      <c r="B50" s="4">
        <v>47</v>
      </c>
      <c r="C50" s="1" t="s">
        <v>36</v>
      </c>
      <c r="D50" s="4">
        <v>56</v>
      </c>
      <c r="E50" s="24" t="str">
        <f>VLOOKUP(D50,Standard!$B$2:$D$251,2,FALSE)</f>
        <v>GB/T 6479-2013</v>
      </c>
      <c r="F50" s="16">
        <v>20</v>
      </c>
      <c r="G50" s="5">
        <v>7.85</v>
      </c>
      <c r="H50" s="4" t="s">
        <v>110</v>
      </c>
      <c r="I50" s="13">
        <v>-20</v>
      </c>
      <c r="J50" s="13"/>
      <c r="K50" s="13">
        <v>34</v>
      </c>
      <c r="L50" s="7"/>
    </row>
    <row r="51" spans="2:14" x14ac:dyDescent="0.25">
      <c r="B51" s="4">
        <v>48</v>
      </c>
      <c r="C51" s="1" t="s">
        <v>36</v>
      </c>
      <c r="D51" s="4">
        <v>56</v>
      </c>
      <c r="E51" s="24" t="str">
        <f>VLOOKUP(D51,Standard!$B$2:$D$251,2,FALSE)</f>
        <v>GB/T 6479-2013</v>
      </c>
      <c r="F51" s="16" t="s">
        <v>661</v>
      </c>
      <c r="G51" s="5">
        <v>7.85</v>
      </c>
      <c r="H51" s="4" t="s">
        <v>110</v>
      </c>
      <c r="I51" s="13">
        <v>-20</v>
      </c>
      <c r="J51" s="13"/>
      <c r="K51" s="13">
        <v>34</v>
      </c>
      <c r="L51" s="7"/>
      <c r="N51" t="str">
        <f>VLOOKUP(D51,Standard!$B$2:$D$251,3,FALSE)</f>
        <v>高压化肥设备用无缝钢管</v>
      </c>
    </row>
    <row r="52" spans="2:14" x14ac:dyDescent="0.25">
      <c r="B52" s="4">
        <v>49</v>
      </c>
      <c r="C52" s="1" t="s">
        <v>36</v>
      </c>
      <c r="D52" s="4">
        <v>56</v>
      </c>
      <c r="E52" s="24" t="str">
        <f>VLOOKUP(D52,Standard!$B$2:$D$251,2,FALSE)</f>
        <v>GB/T 6479-2013</v>
      </c>
      <c r="F52" s="16" t="s">
        <v>662</v>
      </c>
      <c r="G52" s="5">
        <v>7.85</v>
      </c>
      <c r="H52" s="4" t="s">
        <v>110</v>
      </c>
      <c r="I52" s="13">
        <v>-20</v>
      </c>
      <c r="J52" s="13"/>
      <c r="K52" s="13">
        <v>34</v>
      </c>
      <c r="L52" s="7"/>
    </row>
    <row r="53" spans="2:14" x14ac:dyDescent="0.25">
      <c r="B53" s="4">
        <v>50</v>
      </c>
      <c r="C53" s="1" t="s">
        <v>36</v>
      </c>
      <c r="D53" s="4">
        <v>55</v>
      </c>
      <c r="E53" s="24" t="str">
        <f>VLOOKUP(D53,Standard!$B$2:$D$251,2,FALSE)</f>
        <v>GB/T 5310-2008</v>
      </c>
      <c r="F53" s="4" t="s">
        <v>41</v>
      </c>
      <c r="G53" s="5">
        <v>7.85</v>
      </c>
      <c r="H53" s="4" t="s">
        <v>110</v>
      </c>
      <c r="I53" s="13">
        <v>-20</v>
      </c>
      <c r="J53" s="13"/>
      <c r="K53" s="13">
        <v>40</v>
      </c>
      <c r="L53" s="7"/>
    </row>
    <row r="54" spans="2:14" x14ac:dyDescent="0.25">
      <c r="B54" s="4">
        <v>51</v>
      </c>
      <c r="C54" s="1" t="s">
        <v>36</v>
      </c>
      <c r="D54" s="4">
        <v>23</v>
      </c>
      <c r="E54" s="24" t="str">
        <f>VLOOKUP(D54,Standard!$B$2:$D$251,2,FALSE)</f>
        <v>GB/T 150.2-2024</v>
      </c>
      <c r="F54" s="16" t="s">
        <v>655</v>
      </c>
      <c r="G54" s="5">
        <v>7.85</v>
      </c>
      <c r="H54" s="4" t="s">
        <v>110</v>
      </c>
      <c r="I54" s="7"/>
      <c r="J54" s="7"/>
      <c r="K54" s="7"/>
      <c r="L54" s="7"/>
    </row>
    <row r="55" spans="2:14" x14ac:dyDescent="0.25">
      <c r="B55" s="4">
        <v>52</v>
      </c>
      <c r="C55" s="1" t="s">
        <v>36</v>
      </c>
      <c r="D55" s="4">
        <v>23</v>
      </c>
      <c r="E55" s="24" t="str">
        <f>VLOOKUP(D55,Standard!$B$2:$D$251,2,FALSE)</f>
        <v>GB/T 150.2-2024</v>
      </c>
      <c r="F55" s="16" t="s">
        <v>656</v>
      </c>
      <c r="G55" s="5">
        <v>7.85</v>
      </c>
      <c r="H55" s="4" t="s">
        <v>110</v>
      </c>
      <c r="I55" s="7"/>
      <c r="J55" s="7"/>
      <c r="K55" s="7"/>
      <c r="L55" s="7"/>
    </row>
    <row r="56" spans="2:14" x14ac:dyDescent="0.25">
      <c r="B56" s="4">
        <v>53</v>
      </c>
      <c r="C56" s="1" t="s">
        <v>36</v>
      </c>
      <c r="D56" s="4">
        <v>23</v>
      </c>
      <c r="E56" s="24" t="str">
        <f>VLOOKUP(D56,Standard!$B$2:$D$251,2,FALSE)</f>
        <v>GB/T 150.2-2024</v>
      </c>
      <c r="F56" s="15" t="s">
        <v>657</v>
      </c>
      <c r="G56" s="5">
        <v>7.85</v>
      </c>
      <c r="H56" s="4" t="s">
        <v>110</v>
      </c>
      <c r="I56" s="9">
        <v>-50</v>
      </c>
      <c r="J56" s="9">
        <v>-50</v>
      </c>
      <c r="K56" s="9">
        <v>47</v>
      </c>
      <c r="L56" s="7"/>
    </row>
    <row r="57" spans="2:14" x14ac:dyDescent="0.25">
      <c r="B57" s="4">
        <v>54</v>
      </c>
      <c r="C57" s="1" t="s">
        <v>36</v>
      </c>
      <c r="D57" s="4">
        <v>23</v>
      </c>
      <c r="E57" s="24" t="str">
        <f>VLOOKUP(D57,Standard!$B$2:$D$251,2,FALSE)</f>
        <v>GB/T 150.2-2024</v>
      </c>
      <c r="F57" s="15" t="s">
        <v>658</v>
      </c>
      <c r="G57" s="5">
        <v>7.85</v>
      </c>
      <c r="H57" s="4" t="s">
        <v>110</v>
      </c>
      <c r="I57" s="9">
        <v>-70</v>
      </c>
      <c r="J57" s="9">
        <v>-70</v>
      </c>
      <c r="K57" s="9">
        <v>47</v>
      </c>
      <c r="L57" s="7"/>
    </row>
    <row r="58" spans="2:14" x14ac:dyDescent="0.25">
      <c r="B58" s="4">
        <v>55</v>
      </c>
      <c r="C58" s="1" t="s">
        <v>36</v>
      </c>
      <c r="D58" s="4">
        <v>23</v>
      </c>
      <c r="E58" s="24" t="str">
        <f>VLOOKUP(D58,Standard!$B$2:$D$251,2,FALSE)</f>
        <v>GB/T 150.2-2024</v>
      </c>
      <c r="F58" s="15" t="s">
        <v>659</v>
      </c>
      <c r="G58" s="5">
        <v>7.85</v>
      </c>
      <c r="H58" s="4" t="s">
        <v>110</v>
      </c>
      <c r="I58" s="9">
        <v>-20</v>
      </c>
      <c r="J58" s="9">
        <v>20</v>
      </c>
      <c r="K58" s="9">
        <v>40</v>
      </c>
      <c r="L58" s="7"/>
    </row>
    <row r="59" spans="2:14" x14ac:dyDescent="0.25">
      <c r="B59" s="4">
        <v>56</v>
      </c>
      <c r="C59" s="1" t="s">
        <v>36</v>
      </c>
      <c r="D59" s="4">
        <v>17</v>
      </c>
      <c r="E59" s="24" t="str">
        <f>VLOOKUP(D59,Standard!$B$2:$D$251,2,FALSE)</f>
        <v>GB/T 13296-2023</v>
      </c>
      <c r="F59" s="4" t="s">
        <v>25</v>
      </c>
      <c r="G59" s="5">
        <v>7.93</v>
      </c>
      <c r="H59" s="4" t="s">
        <v>111</v>
      </c>
      <c r="I59" s="7"/>
      <c r="J59" s="7"/>
      <c r="K59" s="7"/>
      <c r="L59" s="7"/>
    </row>
    <row r="60" spans="2:14" x14ac:dyDescent="0.25">
      <c r="B60" s="4">
        <v>57</v>
      </c>
      <c r="C60" s="1" t="s">
        <v>36</v>
      </c>
      <c r="D60" s="4">
        <v>20</v>
      </c>
      <c r="E60" s="24" t="str">
        <f>VLOOKUP(D60,Standard!$B$2:$D$251,2,FALSE)</f>
        <v>GB/T 14976-2012</v>
      </c>
      <c r="F60" s="4" t="s">
        <v>25</v>
      </c>
      <c r="G60" s="5">
        <v>7.93</v>
      </c>
      <c r="H60" s="4" t="s">
        <v>111</v>
      </c>
      <c r="I60" s="7"/>
      <c r="J60" s="7"/>
      <c r="K60" s="7"/>
      <c r="L60" s="7"/>
    </row>
    <row r="61" spans="2:14" x14ac:dyDescent="0.25">
      <c r="B61" s="4">
        <v>58</v>
      </c>
      <c r="C61" s="1" t="s">
        <v>36</v>
      </c>
      <c r="D61" s="4">
        <v>17</v>
      </c>
      <c r="E61" s="24" t="str">
        <f>VLOOKUP(D61,Standard!$B$2:$D$251,2,FALSE)</f>
        <v>GB/T 13296-2023</v>
      </c>
      <c r="F61" s="4" t="s">
        <v>26</v>
      </c>
      <c r="G61" s="5">
        <v>7.9</v>
      </c>
      <c r="H61" s="4" t="s">
        <v>111</v>
      </c>
      <c r="I61" s="7"/>
      <c r="J61" s="7"/>
      <c r="K61" s="7"/>
      <c r="L61" s="7"/>
    </row>
    <row r="62" spans="2:14" x14ac:dyDescent="0.25">
      <c r="B62" s="4">
        <v>59</v>
      </c>
      <c r="C62" s="1" t="s">
        <v>36</v>
      </c>
      <c r="D62" s="4">
        <v>20</v>
      </c>
      <c r="E62" s="24" t="str">
        <f>VLOOKUP(D62,Standard!$B$2:$D$251,2,FALSE)</f>
        <v>GB/T 14976-2012</v>
      </c>
      <c r="F62" s="4" t="s">
        <v>26</v>
      </c>
      <c r="G62" s="5">
        <v>7.9</v>
      </c>
      <c r="H62" s="4" t="s">
        <v>111</v>
      </c>
      <c r="I62" s="7"/>
      <c r="J62" s="7"/>
      <c r="K62" s="7"/>
      <c r="L62" s="7"/>
    </row>
    <row r="63" spans="2:14" x14ac:dyDescent="0.25">
      <c r="B63" s="4">
        <v>60</v>
      </c>
      <c r="C63" s="1" t="s">
        <v>36</v>
      </c>
      <c r="D63" s="4">
        <v>17</v>
      </c>
      <c r="E63" s="24" t="str">
        <f>VLOOKUP(D63,Standard!$B$2:$D$251,2,FALSE)</f>
        <v>GB/T 13296-2023</v>
      </c>
      <c r="F63" s="4" t="s">
        <v>34</v>
      </c>
      <c r="G63" s="5">
        <v>8</v>
      </c>
      <c r="H63" s="4" t="s">
        <v>111</v>
      </c>
      <c r="I63" s="7"/>
      <c r="J63" s="7"/>
      <c r="K63" s="7"/>
      <c r="L63" s="7"/>
    </row>
    <row r="64" spans="2:14" x14ac:dyDescent="0.25">
      <c r="B64" s="4">
        <v>61</v>
      </c>
      <c r="C64" s="1" t="s">
        <v>36</v>
      </c>
      <c r="D64" s="4">
        <v>20</v>
      </c>
      <c r="E64" s="24" t="str">
        <f>VLOOKUP(D64,Standard!$B$2:$D$251,2,FALSE)</f>
        <v>GB/T 14976-2012</v>
      </c>
      <c r="F64" s="4" t="s">
        <v>34</v>
      </c>
      <c r="G64" s="5">
        <v>8</v>
      </c>
      <c r="H64" s="4" t="s">
        <v>111</v>
      </c>
      <c r="I64" s="7"/>
      <c r="J64" s="7"/>
      <c r="K64" s="7"/>
      <c r="L64" s="7"/>
    </row>
    <row r="65" spans="2:12" x14ac:dyDescent="0.25">
      <c r="B65" s="4">
        <v>62</v>
      </c>
      <c r="C65" s="1" t="s">
        <v>36</v>
      </c>
      <c r="D65" s="4">
        <v>17</v>
      </c>
      <c r="E65" s="24" t="str">
        <f>VLOOKUP(D65,Standard!$B$2:$D$251,2,FALSE)</f>
        <v>GB/T 13296-2023</v>
      </c>
      <c r="F65" s="4" t="s">
        <v>29</v>
      </c>
      <c r="G65" s="5">
        <v>8</v>
      </c>
      <c r="H65" s="4" t="s">
        <v>111</v>
      </c>
      <c r="I65" s="7"/>
      <c r="J65" s="7"/>
      <c r="K65" s="7"/>
      <c r="L65" s="7"/>
    </row>
    <row r="66" spans="2:12" x14ac:dyDescent="0.25">
      <c r="B66" s="4">
        <v>63</v>
      </c>
      <c r="C66" s="1" t="s">
        <v>36</v>
      </c>
      <c r="D66" s="4">
        <v>20</v>
      </c>
      <c r="E66" s="24" t="str">
        <f>VLOOKUP(D66,Standard!$B$2:$D$251,2,FALSE)</f>
        <v>GB/T 14976-2012</v>
      </c>
      <c r="F66" s="4" t="s">
        <v>29</v>
      </c>
      <c r="G66" s="5">
        <v>8</v>
      </c>
      <c r="H66" s="4" t="s">
        <v>111</v>
      </c>
      <c r="I66" s="7"/>
      <c r="J66" s="7"/>
      <c r="K66" s="7"/>
      <c r="L66" s="7"/>
    </row>
    <row r="67" spans="2:12" x14ac:dyDescent="0.25">
      <c r="B67" s="4">
        <v>64</v>
      </c>
      <c r="C67" s="1" t="s">
        <v>36</v>
      </c>
      <c r="D67" s="4">
        <v>17</v>
      </c>
      <c r="E67" s="24" t="str">
        <f>VLOOKUP(D67,Standard!$B$2:$D$251,2,FALSE)</f>
        <v>GB/T 13296-2023</v>
      </c>
      <c r="F67" s="4" t="s">
        <v>30</v>
      </c>
      <c r="G67" s="5">
        <v>8</v>
      </c>
      <c r="H67" s="4" t="s">
        <v>111</v>
      </c>
      <c r="I67" s="7"/>
      <c r="J67" s="7"/>
      <c r="K67" s="7"/>
      <c r="L67" s="7"/>
    </row>
    <row r="68" spans="2:12" x14ac:dyDescent="0.25">
      <c r="B68" s="4">
        <v>65</v>
      </c>
      <c r="C68" s="1" t="s">
        <v>36</v>
      </c>
      <c r="D68" s="4">
        <v>20</v>
      </c>
      <c r="E68" s="24" t="str">
        <f>VLOOKUP(D68,Standard!$B$2:$D$251,2,FALSE)</f>
        <v>GB/T 14976-2012</v>
      </c>
      <c r="F68" s="4" t="s">
        <v>30</v>
      </c>
      <c r="G68" s="5">
        <v>8</v>
      </c>
      <c r="H68" s="4" t="s">
        <v>111</v>
      </c>
      <c r="I68" s="7"/>
      <c r="J68" s="7"/>
      <c r="K68" s="7"/>
      <c r="L68" s="7"/>
    </row>
    <row r="69" spans="2:12" x14ac:dyDescent="0.25">
      <c r="B69" s="4">
        <v>66</v>
      </c>
      <c r="C69" s="1" t="s">
        <v>36</v>
      </c>
      <c r="D69" s="4">
        <v>17</v>
      </c>
      <c r="E69" s="24" t="str">
        <f>VLOOKUP(D69,Standard!$B$2:$D$251,2,FALSE)</f>
        <v>GB/T 13296-2023</v>
      </c>
      <c r="F69" s="4" t="s">
        <v>31</v>
      </c>
      <c r="G69" s="5">
        <v>7.9</v>
      </c>
      <c r="H69" s="4" t="s">
        <v>111</v>
      </c>
      <c r="I69" s="7"/>
      <c r="J69" s="7"/>
      <c r="K69" s="7"/>
      <c r="L69" s="7"/>
    </row>
    <row r="70" spans="2:12" x14ac:dyDescent="0.25">
      <c r="B70" s="4">
        <v>67</v>
      </c>
      <c r="C70" s="1" t="s">
        <v>36</v>
      </c>
      <c r="D70" s="4">
        <v>20</v>
      </c>
      <c r="E70" s="24" t="str">
        <f>VLOOKUP(D70,Standard!$B$2:$D$251,2,FALSE)</f>
        <v>GB/T 14976-2012</v>
      </c>
      <c r="F70" s="4" t="s">
        <v>31</v>
      </c>
      <c r="G70" s="5">
        <v>7.9</v>
      </c>
      <c r="H70" s="4" t="s">
        <v>111</v>
      </c>
      <c r="I70" s="7"/>
      <c r="J70" s="7"/>
      <c r="K70" s="7"/>
      <c r="L70" s="7"/>
    </row>
    <row r="71" spans="2:12" x14ac:dyDescent="0.25">
      <c r="B71" s="4">
        <v>68</v>
      </c>
      <c r="C71" s="1" t="s">
        <v>36</v>
      </c>
      <c r="D71" s="4">
        <v>17</v>
      </c>
      <c r="E71" s="24" t="str">
        <f>VLOOKUP(D71,Standard!$B$2:$D$251,2,FALSE)</f>
        <v>GB/T 13296-2023</v>
      </c>
      <c r="F71" s="4" t="s">
        <v>32</v>
      </c>
      <c r="G71" s="5">
        <v>8</v>
      </c>
      <c r="H71" s="4" t="s">
        <v>111</v>
      </c>
      <c r="I71" s="7"/>
      <c r="J71" s="7"/>
      <c r="K71" s="7"/>
      <c r="L71" s="7"/>
    </row>
    <row r="72" spans="2:12" x14ac:dyDescent="0.25">
      <c r="B72" s="4">
        <v>69</v>
      </c>
      <c r="C72" s="1" t="s">
        <v>36</v>
      </c>
      <c r="D72" s="4">
        <v>20</v>
      </c>
      <c r="E72" s="24" t="str">
        <f>VLOOKUP(D72,Standard!$B$2:$D$251,2,FALSE)</f>
        <v>GB/T 14976-2012</v>
      </c>
      <c r="F72" s="4" t="s">
        <v>32</v>
      </c>
      <c r="G72" s="5">
        <v>8</v>
      </c>
      <c r="H72" s="4" t="s">
        <v>111</v>
      </c>
      <c r="I72" s="7"/>
      <c r="J72" s="7"/>
      <c r="K72" s="7"/>
      <c r="L72" s="7"/>
    </row>
    <row r="73" spans="2:12" x14ac:dyDescent="0.25">
      <c r="B73" s="4">
        <v>70</v>
      </c>
      <c r="C73" s="1" t="s">
        <v>36</v>
      </c>
      <c r="D73" s="4">
        <v>17</v>
      </c>
      <c r="E73" s="24" t="str">
        <f>VLOOKUP(D73,Standard!$B$2:$D$251,2,FALSE)</f>
        <v>GB/T 13296-2023</v>
      </c>
      <c r="F73" s="4" t="s">
        <v>33</v>
      </c>
      <c r="G73" s="5">
        <v>7.98</v>
      </c>
      <c r="H73" s="4" t="s">
        <v>111</v>
      </c>
      <c r="I73" s="7"/>
      <c r="J73" s="7"/>
      <c r="K73" s="7"/>
      <c r="L73" s="7"/>
    </row>
    <row r="74" spans="2:12" x14ac:dyDescent="0.25">
      <c r="B74" s="4">
        <v>71</v>
      </c>
      <c r="C74" s="1" t="s">
        <v>36</v>
      </c>
      <c r="D74" s="4">
        <v>20</v>
      </c>
      <c r="E74" s="24" t="str">
        <f>VLOOKUP(D74,Standard!$B$2:$D$251,2,FALSE)</f>
        <v>GB/T 14976-2012</v>
      </c>
      <c r="F74" s="4" t="s">
        <v>33</v>
      </c>
      <c r="G74" s="5">
        <v>7.98</v>
      </c>
      <c r="H74" s="4" t="s">
        <v>111</v>
      </c>
      <c r="I74" s="7"/>
      <c r="J74" s="7"/>
      <c r="K74" s="7"/>
      <c r="L74" s="7"/>
    </row>
    <row r="75" spans="2:12" x14ac:dyDescent="0.25">
      <c r="B75" s="4">
        <v>72</v>
      </c>
      <c r="C75" s="1" t="s">
        <v>36</v>
      </c>
      <c r="D75" s="4">
        <v>17</v>
      </c>
      <c r="E75" s="24" t="str">
        <f>VLOOKUP(D75,Standard!$B$2:$D$251,2,FALSE)</f>
        <v>GB/T 13296-2023</v>
      </c>
      <c r="F75" s="4" t="s">
        <v>28</v>
      </c>
      <c r="G75" s="5">
        <v>7.98</v>
      </c>
      <c r="H75" s="4" t="s">
        <v>111</v>
      </c>
      <c r="I75" s="7"/>
      <c r="J75" s="7"/>
      <c r="K75" s="7"/>
      <c r="L75" s="7"/>
    </row>
    <row r="76" spans="2:12" x14ac:dyDescent="0.25">
      <c r="B76" s="4">
        <v>73</v>
      </c>
      <c r="C76" s="1" t="s">
        <v>36</v>
      </c>
      <c r="D76" s="4">
        <v>20</v>
      </c>
      <c r="E76" s="24" t="str">
        <f>VLOOKUP(D76,Standard!$B$2:$D$251,2,FALSE)</f>
        <v>GB/T 14976-2012</v>
      </c>
      <c r="F76" s="4" t="s">
        <v>28</v>
      </c>
      <c r="G76" s="5">
        <v>7.98</v>
      </c>
      <c r="H76" s="4" t="s">
        <v>111</v>
      </c>
      <c r="I76" s="7"/>
      <c r="J76" s="7"/>
      <c r="K76" s="7"/>
      <c r="L76" s="7"/>
    </row>
    <row r="77" spans="2:12" x14ac:dyDescent="0.25">
      <c r="B77" s="4">
        <v>74</v>
      </c>
      <c r="C77" s="1" t="s">
        <v>36</v>
      </c>
      <c r="D77" s="4">
        <v>17</v>
      </c>
      <c r="E77" s="24" t="str">
        <f>VLOOKUP(D77,Standard!$B$2:$D$251,2,FALSE)</f>
        <v>GB/T 13296-2023</v>
      </c>
      <c r="F77" s="4" t="s">
        <v>27</v>
      </c>
      <c r="G77" s="5">
        <v>7.9</v>
      </c>
      <c r="H77" s="4" t="s">
        <v>111</v>
      </c>
      <c r="I77" s="7"/>
      <c r="J77" s="7"/>
      <c r="K77" s="7"/>
      <c r="L77" s="7"/>
    </row>
    <row r="78" spans="2:12" x14ac:dyDescent="0.25">
      <c r="B78" s="4">
        <v>75</v>
      </c>
      <c r="C78" s="1" t="s">
        <v>36</v>
      </c>
      <c r="D78" s="4">
        <v>35</v>
      </c>
      <c r="E78" s="24" t="str">
        <f>VLOOKUP(D78,Standard!$B$2:$D$251,2,FALSE)</f>
        <v>GB/T 21833-2008</v>
      </c>
      <c r="F78" s="4" t="s">
        <v>22</v>
      </c>
      <c r="G78" s="5">
        <v>7.7</v>
      </c>
      <c r="H78" s="4" t="s">
        <v>111</v>
      </c>
      <c r="I78" s="7"/>
      <c r="J78" s="7"/>
      <c r="K78" s="7"/>
      <c r="L78" s="7"/>
    </row>
    <row r="79" spans="2:12" x14ac:dyDescent="0.25">
      <c r="B79" s="4">
        <v>76</v>
      </c>
      <c r="C79" s="1" t="s">
        <v>36</v>
      </c>
      <c r="D79" s="4">
        <v>35</v>
      </c>
      <c r="E79" s="24" t="str">
        <f>VLOOKUP(D79,Standard!$B$2:$D$251,2,FALSE)</f>
        <v>GB/T 21833-2008</v>
      </c>
      <c r="F79" s="4" t="s">
        <v>23</v>
      </c>
      <c r="G79" s="5">
        <v>7.8</v>
      </c>
      <c r="H79" s="4" t="s">
        <v>111</v>
      </c>
      <c r="I79" s="7"/>
      <c r="J79" s="7"/>
      <c r="K79" s="7"/>
      <c r="L79" s="7"/>
    </row>
    <row r="80" spans="2:12" x14ac:dyDescent="0.25">
      <c r="B80" s="4">
        <v>77</v>
      </c>
      <c r="C80" s="1" t="s">
        <v>36</v>
      </c>
      <c r="D80" s="4">
        <v>35</v>
      </c>
      <c r="E80" s="24" t="str">
        <f>VLOOKUP(D80,Standard!$B$2:$D$251,2,FALSE)</f>
        <v>GB/T 21833-2008</v>
      </c>
      <c r="F80" s="4" t="s">
        <v>24</v>
      </c>
      <c r="G80" s="5">
        <v>7.8</v>
      </c>
      <c r="H80" s="4" t="s">
        <v>111</v>
      </c>
      <c r="I80" s="7"/>
      <c r="J80" s="7"/>
      <c r="K80" s="7"/>
      <c r="L80" s="7"/>
    </row>
    <row r="81" spans="2:15" x14ac:dyDescent="0.25">
      <c r="B81" s="4">
        <v>78</v>
      </c>
      <c r="C81" s="1" t="s">
        <v>36</v>
      </c>
      <c r="D81" s="4">
        <v>35</v>
      </c>
      <c r="E81" s="24" t="str">
        <f>VLOOKUP(D81,Standard!$B$2:$D$251,2,FALSE)</f>
        <v>GB/T 21833-2008</v>
      </c>
      <c r="F81" s="4" t="s">
        <v>43</v>
      </c>
      <c r="G81" s="5">
        <v>7.8</v>
      </c>
      <c r="H81" s="4" t="s">
        <v>111</v>
      </c>
      <c r="I81" s="7"/>
      <c r="J81" s="7"/>
      <c r="K81" s="7"/>
      <c r="L81" s="7"/>
    </row>
    <row r="82" spans="2:15" x14ac:dyDescent="0.25">
      <c r="B82" s="4">
        <v>79</v>
      </c>
      <c r="C82" s="1" t="s">
        <v>36</v>
      </c>
      <c r="D82" s="4">
        <v>16</v>
      </c>
      <c r="E82" s="24" t="str">
        <f>VLOOKUP(D82,Standard!$B$2:$D$251,2,FALSE)</f>
        <v>GB/T 12771-2008</v>
      </c>
      <c r="F82" s="4" t="s">
        <v>25</v>
      </c>
      <c r="G82" s="5">
        <v>7.93</v>
      </c>
      <c r="H82" s="4" t="s">
        <v>111</v>
      </c>
      <c r="I82" s="7"/>
      <c r="J82" s="7"/>
      <c r="K82" s="7"/>
      <c r="L82" s="7"/>
    </row>
    <row r="83" spans="2:15" x14ac:dyDescent="0.25">
      <c r="B83" s="4">
        <v>80</v>
      </c>
      <c r="C83" s="1" t="s">
        <v>36</v>
      </c>
      <c r="D83" s="4">
        <v>16</v>
      </c>
      <c r="E83" s="24" t="str">
        <f>VLOOKUP(D83,Standard!$B$2:$D$251,2,FALSE)</f>
        <v>GB/T 12771-2008</v>
      </c>
      <c r="F83" s="4" t="s">
        <v>26</v>
      </c>
      <c r="G83" s="5">
        <v>7.9</v>
      </c>
      <c r="H83" s="4" t="s">
        <v>111</v>
      </c>
      <c r="I83" s="7"/>
      <c r="J83" s="7"/>
      <c r="K83" s="7"/>
      <c r="L83" s="7"/>
    </row>
    <row r="84" spans="2:15" x14ac:dyDescent="0.25">
      <c r="B84" s="4">
        <v>81</v>
      </c>
      <c r="C84" s="1" t="s">
        <v>36</v>
      </c>
      <c r="D84" s="4">
        <v>16</v>
      </c>
      <c r="E84" s="24" t="str">
        <f>VLOOKUP(D84,Standard!$B$2:$D$251,2,FALSE)</f>
        <v>GB/T 12771-2008</v>
      </c>
      <c r="F84" s="4" t="s">
        <v>29</v>
      </c>
      <c r="G84" s="5">
        <v>8</v>
      </c>
      <c r="H84" s="4" t="s">
        <v>111</v>
      </c>
      <c r="I84" s="7"/>
      <c r="J84" s="7"/>
      <c r="K84" s="7"/>
      <c r="L84" s="7"/>
    </row>
    <row r="85" spans="2:15" x14ac:dyDescent="0.25">
      <c r="B85" s="4">
        <v>82</v>
      </c>
      <c r="C85" s="1" t="s">
        <v>36</v>
      </c>
      <c r="D85" s="4">
        <v>16</v>
      </c>
      <c r="E85" s="24" t="str">
        <f>VLOOKUP(D85,Standard!$B$2:$D$251,2,FALSE)</f>
        <v>GB/T 12771-2008</v>
      </c>
      <c r="F85" s="4" t="s">
        <v>30</v>
      </c>
      <c r="G85" s="5">
        <v>8</v>
      </c>
      <c r="H85" s="4" t="s">
        <v>111</v>
      </c>
      <c r="I85" s="7"/>
      <c r="J85" s="7"/>
      <c r="K85" s="7"/>
      <c r="L85" s="7"/>
    </row>
    <row r="86" spans="2:15" x14ac:dyDescent="0.25">
      <c r="B86" s="4">
        <v>83</v>
      </c>
      <c r="C86" s="1" t="s">
        <v>36</v>
      </c>
      <c r="D86" s="4">
        <v>16</v>
      </c>
      <c r="E86" s="24" t="str">
        <f>VLOOKUP(D86,Standard!$B$2:$D$251,2,FALSE)</f>
        <v>GB/T 12771-2008</v>
      </c>
      <c r="F86" s="4" t="s">
        <v>34</v>
      </c>
      <c r="G86" s="5">
        <v>8</v>
      </c>
      <c r="H86" s="4" t="s">
        <v>111</v>
      </c>
      <c r="I86" s="7"/>
      <c r="J86" s="7"/>
      <c r="K86" s="7"/>
      <c r="L86" s="7"/>
    </row>
    <row r="87" spans="2:15" x14ac:dyDescent="0.25">
      <c r="B87" s="4">
        <v>84</v>
      </c>
      <c r="C87" s="1" t="s">
        <v>36</v>
      </c>
      <c r="D87" s="4">
        <v>38</v>
      </c>
      <c r="E87" s="24" t="str">
        <f>VLOOKUP(D87,Standard!$B$2:$D$251,2,FALSE)</f>
        <v>GB/T 24593-2018</v>
      </c>
      <c r="F87" s="4" t="s">
        <v>25</v>
      </c>
      <c r="G87" s="5">
        <v>7.93</v>
      </c>
      <c r="H87" s="4" t="s">
        <v>111</v>
      </c>
      <c r="I87" s="7"/>
      <c r="J87" s="7"/>
      <c r="K87" s="7"/>
      <c r="L87" s="7"/>
    </row>
    <row r="88" spans="2:15" x14ac:dyDescent="0.25">
      <c r="B88" s="4">
        <v>85</v>
      </c>
      <c r="C88" s="1" t="s">
        <v>36</v>
      </c>
      <c r="D88" s="4">
        <v>38</v>
      </c>
      <c r="E88" s="24" t="str">
        <f>VLOOKUP(D88,Standard!$B$2:$D$251,2,FALSE)</f>
        <v>GB/T 24593-2018</v>
      </c>
      <c r="F88" s="4" t="s">
        <v>26</v>
      </c>
      <c r="G88" s="5">
        <v>7.9</v>
      </c>
      <c r="H88" s="4" t="s">
        <v>111</v>
      </c>
      <c r="I88" s="7"/>
      <c r="J88" s="7"/>
      <c r="K88" s="7"/>
      <c r="L88" s="7"/>
    </row>
    <row r="89" spans="2:15" x14ac:dyDescent="0.25">
      <c r="B89" s="4">
        <v>86</v>
      </c>
      <c r="C89" s="1" t="s">
        <v>36</v>
      </c>
      <c r="D89" s="4">
        <v>38</v>
      </c>
      <c r="E89" s="24" t="str">
        <f>VLOOKUP(D89,Standard!$B$2:$D$251,2,FALSE)</f>
        <v>GB/T 24593-2018</v>
      </c>
      <c r="F89" s="4" t="s">
        <v>29</v>
      </c>
      <c r="G89" s="5">
        <v>8</v>
      </c>
      <c r="H89" s="4" t="s">
        <v>111</v>
      </c>
      <c r="I89" s="7"/>
      <c r="J89" s="7"/>
      <c r="K89" s="7"/>
      <c r="L89" s="7"/>
    </row>
    <row r="90" spans="2:15" x14ac:dyDescent="0.25">
      <c r="B90" s="4">
        <v>87</v>
      </c>
      <c r="C90" s="1" t="s">
        <v>36</v>
      </c>
      <c r="D90" s="4">
        <v>38</v>
      </c>
      <c r="E90" s="24" t="str">
        <f>VLOOKUP(D90,Standard!$B$2:$D$251,2,FALSE)</f>
        <v>GB/T 24593-2018</v>
      </c>
      <c r="F90" s="4" t="s">
        <v>30</v>
      </c>
      <c r="G90" s="5">
        <v>8</v>
      </c>
      <c r="H90" s="4" t="s">
        <v>111</v>
      </c>
      <c r="I90" s="7"/>
      <c r="J90" s="7"/>
      <c r="K90" s="7"/>
      <c r="L90" s="7"/>
    </row>
    <row r="91" spans="2:15" x14ac:dyDescent="0.25">
      <c r="B91" s="4">
        <v>88</v>
      </c>
      <c r="C91" s="1" t="s">
        <v>36</v>
      </c>
      <c r="D91" s="4">
        <v>38</v>
      </c>
      <c r="E91" s="24" t="str">
        <f>VLOOKUP(D91,Standard!$B$2:$D$251,2,FALSE)</f>
        <v>GB/T 24593-2018</v>
      </c>
      <c r="F91" s="4" t="s">
        <v>34</v>
      </c>
      <c r="G91" s="5">
        <v>8</v>
      </c>
      <c r="H91" s="4" t="s">
        <v>111</v>
      </c>
      <c r="I91" s="7"/>
      <c r="J91" s="7"/>
      <c r="K91" s="7"/>
      <c r="L91" s="7"/>
    </row>
    <row r="92" spans="2:15" x14ac:dyDescent="0.25">
      <c r="B92" s="4">
        <v>89</v>
      </c>
      <c r="C92" s="1" t="s">
        <v>36</v>
      </c>
      <c r="D92" s="4">
        <v>34</v>
      </c>
      <c r="E92" s="24" t="str">
        <f>VLOOKUP(D92,Standard!$B$2:$D$251,2,FALSE)</f>
        <v>GB/T 21832-2008</v>
      </c>
      <c r="F92" s="4" t="s">
        <v>22</v>
      </c>
      <c r="G92" s="5">
        <v>7.7</v>
      </c>
      <c r="H92" s="4" t="s">
        <v>111</v>
      </c>
      <c r="I92" s="7"/>
      <c r="J92" s="7"/>
      <c r="K92" s="7"/>
      <c r="L92" s="7"/>
    </row>
    <row r="93" spans="2:15" x14ac:dyDescent="0.25">
      <c r="B93" s="4">
        <v>90</v>
      </c>
      <c r="C93" s="1" t="s">
        <v>36</v>
      </c>
      <c r="D93" s="4">
        <v>34</v>
      </c>
      <c r="E93" s="24" t="str">
        <f>VLOOKUP(D93,Standard!$B$2:$D$251,2,FALSE)</f>
        <v>GB/T 21832-2008</v>
      </c>
      <c r="F93" s="4" t="s">
        <v>23</v>
      </c>
      <c r="G93" s="5">
        <v>7.8</v>
      </c>
      <c r="H93" s="4" t="s">
        <v>111</v>
      </c>
      <c r="I93" s="7"/>
      <c r="J93" s="7"/>
      <c r="K93" s="7"/>
      <c r="L93" s="7"/>
    </row>
    <row r="94" spans="2:15" x14ac:dyDescent="0.25">
      <c r="B94" s="4">
        <v>91</v>
      </c>
      <c r="C94" s="1" t="s">
        <v>36</v>
      </c>
      <c r="D94" s="4">
        <v>34</v>
      </c>
      <c r="E94" s="24" t="str">
        <f>VLOOKUP(D94,Standard!$B$2:$D$251,2,FALSE)</f>
        <v>GB/T 21832-2008</v>
      </c>
      <c r="F94" s="4" t="s">
        <v>24</v>
      </c>
      <c r="G94" s="5">
        <v>7.8</v>
      </c>
      <c r="H94" s="4" t="s">
        <v>111</v>
      </c>
      <c r="I94" s="7"/>
      <c r="J94" s="7"/>
      <c r="K94" s="7"/>
      <c r="L94" s="7"/>
    </row>
    <row r="95" spans="2:15" x14ac:dyDescent="0.25">
      <c r="B95" s="4">
        <v>92</v>
      </c>
      <c r="C95" s="1" t="s">
        <v>44</v>
      </c>
      <c r="D95" s="4">
        <v>162</v>
      </c>
      <c r="E95" s="24" t="str">
        <f>VLOOKUP(D95,Standard!$B$2:$D$251,2,FALSE)</f>
        <v>NB/T 47008-2017</v>
      </c>
      <c r="F95" s="4">
        <v>20</v>
      </c>
      <c r="G95" s="5">
        <v>7.85</v>
      </c>
      <c r="H95" s="4" t="s">
        <v>110</v>
      </c>
      <c r="I95" s="9">
        <v>-20</v>
      </c>
      <c r="J95" s="9">
        <v>0</v>
      </c>
      <c r="K95" s="9">
        <v>34</v>
      </c>
      <c r="L95" s="15"/>
    </row>
    <row r="96" spans="2:15" x14ac:dyDescent="0.25">
      <c r="B96" s="4">
        <v>93</v>
      </c>
      <c r="C96" s="1" t="s">
        <v>44</v>
      </c>
      <c r="D96" s="4">
        <v>162</v>
      </c>
      <c r="E96" s="24" t="str">
        <f>VLOOKUP(D96,Standard!$B$2:$D$251,2,FALSE)</f>
        <v>NB/T 47008-2017</v>
      </c>
      <c r="F96" s="4">
        <v>35</v>
      </c>
      <c r="G96" s="5">
        <v>7.85</v>
      </c>
      <c r="H96" s="4" t="s">
        <v>110</v>
      </c>
      <c r="I96" s="9">
        <v>-20</v>
      </c>
      <c r="J96" s="9">
        <v>20</v>
      </c>
      <c r="K96" s="9">
        <v>41</v>
      </c>
      <c r="L96" s="15"/>
      <c r="O96" t="s">
        <v>698</v>
      </c>
    </row>
    <row r="97" spans="2:12" x14ac:dyDescent="0.25">
      <c r="B97" s="4">
        <v>94</v>
      </c>
      <c r="C97" s="1" t="s">
        <v>44</v>
      </c>
      <c r="D97" s="4">
        <v>162</v>
      </c>
      <c r="E97" s="24" t="str">
        <f>VLOOKUP(D97,Standard!$B$2:$D$251,2,FALSE)</f>
        <v>NB/T 47008-2017</v>
      </c>
      <c r="F97" s="4" t="s">
        <v>38</v>
      </c>
      <c r="G97" s="5">
        <v>7.85</v>
      </c>
      <c r="H97" s="4" t="s">
        <v>110</v>
      </c>
      <c r="I97" s="9">
        <v>-20</v>
      </c>
      <c r="J97" s="9">
        <v>0</v>
      </c>
      <c r="K97" s="9">
        <v>41</v>
      </c>
      <c r="L97" s="15"/>
    </row>
    <row r="98" spans="2:12" x14ac:dyDescent="0.25">
      <c r="B98" s="4">
        <v>95</v>
      </c>
      <c r="C98" s="1" t="s">
        <v>44</v>
      </c>
      <c r="D98" s="4">
        <v>162</v>
      </c>
      <c r="E98" s="24" t="str">
        <f>VLOOKUP(D98,Standard!$B$2:$D$251,2,FALSE)</f>
        <v>NB/T 47008-2017</v>
      </c>
      <c r="F98" s="4" t="s">
        <v>45</v>
      </c>
      <c r="G98" s="5">
        <v>7.85</v>
      </c>
      <c r="H98" s="4" t="s">
        <v>110</v>
      </c>
      <c r="I98" s="9">
        <v>-20</v>
      </c>
      <c r="J98" s="9">
        <v>0</v>
      </c>
      <c r="K98" s="9">
        <v>47</v>
      </c>
      <c r="L98" s="15"/>
    </row>
    <row r="99" spans="2:12" x14ac:dyDescent="0.25">
      <c r="B99" s="4">
        <v>96</v>
      </c>
      <c r="C99" s="1" t="s">
        <v>44</v>
      </c>
      <c r="D99" s="4">
        <v>162</v>
      </c>
      <c r="E99" s="24" t="str">
        <f>VLOOKUP(D99,Standard!$B$2:$D$251,2,FALSE)</f>
        <v>NB/T 47008-2017</v>
      </c>
      <c r="F99" s="4" t="s">
        <v>46</v>
      </c>
      <c r="G99" s="5">
        <v>7.85</v>
      </c>
      <c r="H99" s="4" t="s">
        <v>110</v>
      </c>
      <c r="I99" s="9">
        <v>-20</v>
      </c>
      <c r="J99" s="9">
        <v>0</v>
      </c>
      <c r="K99" s="9">
        <v>47</v>
      </c>
      <c r="L99" s="15"/>
    </row>
    <row r="100" spans="2:12" x14ac:dyDescent="0.25">
      <c r="B100" s="4">
        <v>97</v>
      </c>
      <c r="C100" s="1" t="s">
        <v>44</v>
      </c>
      <c r="D100" s="4">
        <v>162</v>
      </c>
      <c r="E100" s="24" t="str">
        <f>VLOOKUP(D100,Standard!$B$2:$D$251,2,FALSE)</f>
        <v>NB/T 47008-2017</v>
      </c>
      <c r="F100" s="4" t="s">
        <v>47</v>
      </c>
      <c r="G100" s="5">
        <v>7.85</v>
      </c>
      <c r="H100" s="4" t="s">
        <v>110</v>
      </c>
      <c r="I100" s="9">
        <v>-20</v>
      </c>
      <c r="J100" s="9">
        <v>-20</v>
      </c>
      <c r="K100" s="9">
        <v>47</v>
      </c>
      <c r="L100" s="15"/>
    </row>
    <row r="101" spans="2:12" x14ac:dyDescent="0.25">
      <c r="B101" s="4">
        <v>98</v>
      </c>
      <c r="C101" s="1" t="s">
        <v>44</v>
      </c>
      <c r="D101" s="4">
        <v>162</v>
      </c>
      <c r="E101" s="24" t="str">
        <f>VLOOKUP(D101,Standard!$B$2:$D$251,2,FALSE)</f>
        <v>NB/T 47008-2017</v>
      </c>
      <c r="F101" s="4" t="s">
        <v>48</v>
      </c>
      <c r="G101" s="5">
        <v>7.85</v>
      </c>
      <c r="H101" s="4" t="s">
        <v>110</v>
      </c>
      <c r="I101" s="9">
        <v>-20</v>
      </c>
      <c r="J101" s="9">
        <v>0</v>
      </c>
      <c r="K101" s="9">
        <v>41</v>
      </c>
      <c r="L101" s="15"/>
    </row>
    <row r="102" spans="2:12" x14ac:dyDescent="0.25">
      <c r="B102" s="4">
        <v>99</v>
      </c>
      <c r="C102" s="1" t="s">
        <v>44</v>
      </c>
      <c r="D102" s="4">
        <v>162</v>
      </c>
      <c r="E102" s="24" t="str">
        <f>VLOOKUP(D102,Standard!$B$2:$D$251,2,FALSE)</f>
        <v>NB/T 47008-2017</v>
      </c>
      <c r="F102" s="4" t="s">
        <v>49</v>
      </c>
      <c r="G102" s="5">
        <v>7.85</v>
      </c>
      <c r="H102" s="4" t="s">
        <v>110</v>
      </c>
      <c r="I102" s="9">
        <v>-20</v>
      </c>
      <c r="J102" s="9">
        <v>20</v>
      </c>
      <c r="K102" s="9">
        <v>47</v>
      </c>
      <c r="L102" s="15"/>
    </row>
    <row r="103" spans="2:12" x14ac:dyDescent="0.25">
      <c r="B103" s="4">
        <v>100</v>
      </c>
      <c r="C103" s="1" t="s">
        <v>44</v>
      </c>
      <c r="D103" s="4">
        <v>162</v>
      </c>
      <c r="E103" s="24" t="str">
        <f>VLOOKUP(D103,Standard!$B$2:$D$251,2,FALSE)</f>
        <v>NB/T 47008-2017</v>
      </c>
      <c r="F103" s="4" t="s">
        <v>50</v>
      </c>
      <c r="G103" s="5">
        <v>7.85</v>
      </c>
      <c r="H103" s="4" t="s">
        <v>110</v>
      </c>
      <c r="I103" s="9">
        <v>-20</v>
      </c>
      <c r="J103" s="9">
        <v>20</v>
      </c>
      <c r="K103" s="9">
        <v>47</v>
      </c>
      <c r="L103" s="15"/>
    </row>
    <row r="104" spans="2:12" x14ac:dyDescent="0.25">
      <c r="B104" s="4">
        <v>101</v>
      </c>
      <c r="C104" s="1" t="s">
        <v>44</v>
      </c>
      <c r="D104" s="4">
        <v>162</v>
      </c>
      <c r="E104" s="24" t="str">
        <f>VLOOKUP(D104,Standard!$B$2:$D$251,2,FALSE)</f>
        <v>NB/T 47008-2017</v>
      </c>
      <c r="F104" s="4" t="s">
        <v>39</v>
      </c>
      <c r="G104" s="5">
        <v>7.85</v>
      </c>
      <c r="H104" s="4" t="s">
        <v>110</v>
      </c>
      <c r="I104" s="9">
        <v>-20</v>
      </c>
      <c r="J104" s="9">
        <v>20</v>
      </c>
      <c r="K104" s="9">
        <v>47</v>
      </c>
      <c r="L104" s="15"/>
    </row>
    <row r="105" spans="2:12" x14ac:dyDescent="0.25">
      <c r="B105" s="4">
        <v>102</v>
      </c>
      <c r="C105" s="1" t="s">
        <v>44</v>
      </c>
      <c r="D105" s="4">
        <v>162</v>
      </c>
      <c r="E105" s="24" t="str">
        <f>VLOOKUP(D105,Standard!$B$2:$D$251,2,FALSE)</f>
        <v>NB/T 47008-2017</v>
      </c>
      <c r="F105" s="4" t="s">
        <v>51</v>
      </c>
      <c r="G105" s="5">
        <v>7.85</v>
      </c>
      <c r="H105" s="4" t="s">
        <v>110</v>
      </c>
      <c r="I105" s="9">
        <v>-20</v>
      </c>
      <c r="J105" s="9">
        <v>20</v>
      </c>
      <c r="K105" s="9">
        <v>47</v>
      </c>
      <c r="L105" s="15"/>
    </row>
    <row r="106" spans="2:12" x14ac:dyDescent="0.25">
      <c r="B106" s="4">
        <v>103</v>
      </c>
      <c r="C106" s="1" t="s">
        <v>44</v>
      </c>
      <c r="D106" s="4">
        <v>162</v>
      </c>
      <c r="E106" s="24" t="str">
        <f>VLOOKUP(D106,Standard!$B$2:$D$251,2,FALSE)</f>
        <v>NB/T 47008-2017</v>
      </c>
      <c r="F106" s="4" t="s">
        <v>52</v>
      </c>
      <c r="G106" s="5">
        <v>7.85</v>
      </c>
      <c r="H106" s="4" t="s">
        <v>110</v>
      </c>
      <c r="I106" s="9">
        <v>-20</v>
      </c>
      <c r="J106" s="9">
        <v>-20</v>
      </c>
      <c r="K106" s="9">
        <v>60</v>
      </c>
      <c r="L106" s="15"/>
    </row>
    <row r="107" spans="2:12" x14ac:dyDescent="0.25">
      <c r="B107" s="4">
        <v>104</v>
      </c>
      <c r="C107" s="1" t="s">
        <v>44</v>
      </c>
      <c r="D107" s="4">
        <v>162</v>
      </c>
      <c r="E107" s="24" t="str">
        <f>VLOOKUP(D107,Standard!$B$2:$D$251,2,FALSE)</f>
        <v>NB/T 47008-2017</v>
      </c>
      <c r="F107" s="4" t="s">
        <v>53</v>
      </c>
      <c r="G107" s="5">
        <v>7.85</v>
      </c>
      <c r="H107" s="4" t="s">
        <v>110</v>
      </c>
      <c r="I107" s="9">
        <v>-20</v>
      </c>
      <c r="J107" s="9">
        <v>-20</v>
      </c>
      <c r="K107" s="9">
        <v>60</v>
      </c>
      <c r="L107" s="15"/>
    </row>
    <row r="108" spans="2:12" x14ac:dyDescent="0.25">
      <c r="B108" s="4">
        <v>105</v>
      </c>
      <c r="C108" s="1" t="s">
        <v>44</v>
      </c>
      <c r="D108" s="4">
        <v>162</v>
      </c>
      <c r="E108" s="24" t="str">
        <f>VLOOKUP(D108,Standard!$B$2:$D$251,2,FALSE)</f>
        <v>NB/T 47008-2017</v>
      </c>
      <c r="F108" s="6" t="s">
        <v>696</v>
      </c>
      <c r="G108" s="5">
        <v>7.85</v>
      </c>
      <c r="H108" s="4" t="s">
        <v>110</v>
      </c>
      <c r="I108" s="9">
        <v>-20</v>
      </c>
      <c r="J108" s="9">
        <v>20</v>
      </c>
      <c r="K108" s="9">
        <v>47</v>
      </c>
      <c r="L108" s="15"/>
    </row>
    <row r="109" spans="2:12" x14ac:dyDescent="0.25">
      <c r="B109" s="4">
        <v>106</v>
      </c>
      <c r="C109" s="1" t="s">
        <v>44</v>
      </c>
      <c r="D109" s="4">
        <v>163</v>
      </c>
      <c r="E109" s="24" t="str">
        <f>VLOOKUP(D109,Standard!$B$2:$D$251,2,FALSE)</f>
        <v>NB/T 47009-2017</v>
      </c>
      <c r="F109" s="4" t="s">
        <v>54</v>
      </c>
      <c r="G109" s="5">
        <v>7.85</v>
      </c>
      <c r="H109" s="4" t="s">
        <v>110</v>
      </c>
      <c r="I109" s="9">
        <v>-45</v>
      </c>
      <c r="J109" s="9">
        <v>-40</v>
      </c>
      <c r="K109" s="9">
        <v>47</v>
      </c>
      <c r="L109" s="15"/>
    </row>
    <row r="110" spans="2:12" x14ac:dyDescent="0.25">
      <c r="B110" s="4">
        <v>107</v>
      </c>
      <c r="C110" s="1" t="s">
        <v>44</v>
      </c>
      <c r="D110" s="4">
        <v>163</v>
      </c>
      <c r="E110" s="24" t="str">
        <f>VLOOKUP(D110,Standard!$B$2:$D$251,2,FALSE)</f>
        <v>NB/T 47009-2017</v>
      </c>
      <c r="F110" s="4" t="s">
        <v>55</v>
      </c>
      <c r="G110" s="5">
        <v>7.85</v>
      </c>
      <c r="H110" s="4" t="s">
        <v>110</v>
      </c>
      <c r="I110" s="9">
        <v>-40</v>
      </c>
      <c r="J110" s="9">
        <v>-30</v>
      </c>
      <c r="K110" s="9">
        <v>60</v>
      </c>
      <c r="L110" s="15"/>
    </row>
    <row r="111" spans="2:12" x14ac:dyDescent="0.25">
      <c r="B111" s="4">
        <v>108</v>
      </c>
      <c r="C111" s="1" t="s">
        <v>44</v>
      </c>
      <c r="D111" s="4">
        <v>163</v>
      </c>
      <c r="E111" s="24" t="str">
        <f>VLOOKUP(D111,Standard!$B$2:$D$251,2,FALSE)</f>
        <v>NB/T 47009-2017</v>
      </c>
      <c r="F111" s="4" t="s">
        <v>56</v>
      </c>
      <c r="G111" s="5">
        <v>7.85</v>
      </c>
      <c r="H111" s="4" t="s">
        <v>110</v>
      </c>
      <c r="I111" s="9">
        <v>-40</v>
      </c>
      <c r="J111" s="9">
        <v>-40</v>
      </c>
      <c r="K111" s="9">
        <v>80</v>
      </c>
      <c r="L111" s="15"/>
    </row>
    <row r="112" spans="2:12" x14ac:dyDescent="0.25">
      <c r="B112" s="4">
        <v>109</v>
      </c>
      <c r="C112" s="1" t="s">
        <v>44</v>
      </c>
      <c r="D112" s="4">
        <v>163</v>
      </c>
      <c r="E112" s="24" t="str">
        <f>VLOOKUP(D112,Standard!$B$2:$D$251,2,FALSE)</f>
        <v>NB/T 47009-2017</v>
      </c>
      <c r="F112" s="4" t="s">
        <v>57</v>
      </c>
      <c r="G112" s="5">
        <v>7.85</v>
      </c>
      <c r="H112" s="4" t="s">
        <v>110</v>
      </c>
      <c r="I112" s="9">
        <v>-50</v>
      </c>
      <c r="J112" s="9">
        <v>-50</v>
      </c>
      <c r="K112" s="9">
        <v>80</v>
      </c>
      <c r="L112" s="15"/>
    </row>
    <row r="113" spans="2:12" x14ac:dyDescent="0.25">
      <c r="B113" s="4">
        <v>110</v>
      </c>
      <c r="C113" s="1" t="s">
        <v>44</v>
      </c>
      <c r="D113" s="4">
        <v>163</v>
      </c>
      <c r="E113" s="24" t="str">
        <f>VLOOKUP(D113,Standard!$B$2:$D$251,2,FALSE)</f>
        <v>NB/T 47009-2017</v>
      </c>
      <c r="F113" s="4" t="s">
        <v>42</v>
      </c>
      <c r="G113" s="5">
        <v>7.85</v>
      </c>
      <c r="H113" s="4" t="s">
        <v>110</v>
      </c>
      <c r="I113" s="9">
        <v>-70</v>
      </c>
      <c r="J113" s="9">
        <v>-70</v>
      </c>
      <c r="K113" s="9">
        <v>60</v>
      </c>
      <c r="L113" s="15"/>
    </row>
    <row r="114" spans="2:12" x14ac:dyDescent="0.25">
      <c r="B114" s="4">
        <v>111</v>
      </c>
      <c r="C114" s="1" t="s">
        <v>44</v>
      </c>
      <c r="D114" s="4">
        <v>163</v>
      </c>
      <c r="E114" s="24" t="str">
        <f>VLOOKUP(D114,Standard!$B$2:$D$251,2,FALSE)</f>
        <v>NB/T 47009-2017</v>
      </c>
      <c r="F114" s="4" t="s">
        <v>58</v>
      </c>
      <c r="G114" s="5">
        <v>7.85</v>
      </c>
      <c r="H114" s="4" t="s">
        <v>110</v>
      </c>
      <c r="I114" s="9">
        <v>-100</v>
      </c>
      <c r="J114" s="9">
        <v>-100</v>
      </c>
      <c r="K114" s="9">
        <v>60</v>
      </c>
      <c r="L114" s="15"/>
    </row>
    <row r="115" spans="2:12" x14ac:dyDescent="0.25">
      <c r="B115" s="4">
        <v>112</v>
      </c>
      <c r="C115" s="1" t="s">
        <v>44</v>
      </c>
      <c r="D115" s="4">
        <v>164</v>
      </c>
      <c r="E115" s="24" t="str">
        <f>VLOOKUP(D115,Standard!$B$2:$D$251,2,FALSE)</f>
        <v>NB/T 47010-2017</v>
      </c>
      <c r="F115" s="4" t="s">
        <v>25</v>
      </c>
      <c r="G115" s="5">
        <v>7.93</v>
      </c>
      <c r="H115" s="4" t="s">
        <v>111</v>
      </c>
      <c r="I115" s="9"/>
      <c r="J115" s="9"/>
      <c r="K115" s="9"/>
      <c r="L115" s="15"/>
    </row>
    <row r="116" spans="2:12" x14ac:dyDescent="0.25">
      <c r="B116" s="4">
        <v>113</v>
      </c>
      <c r="C116" s="1" t="s">
        <v>44</v>
      </c>
      <c r="D116" s="4">
        <v>164</v>
      </c>
      <c r="E116" s="24" t="str">
        <f>VLOOKUP(D116,Standard!$B$2:$D$251,2,FALSE)</f>
        <v>NB/T 47010-2017</v>
      </c>
      <c r="F116" s="4" t="s">
        <v>26</v>
      </c>
      <c r="G116" s="5">
        <v>7.9</v>
      </c>
      <c r="H116" s="4" t="s">
        <v>111</v>
      </c>
      <c r="I116" s="9"/>
      <c r="J116" s="9"/>
      <c r="K116" s="9"/>
      <c r="L116" s="15"/>
    </row>
    <row r="117" spans="2:12" x14ac:dyDescent="0.25">
      <c r="B117" s="4">
        <v>114</v>
      </c>
      <c r="C117" s="1" t="s">
        <v>44</v>
      </c>
      <c r="D117" s="4">
        <v>164</v>
      </c>
      <c r="E117" s="24" t="str">
        <f>VLOOKUP(D117,Standard!$B$2:$D$251,2,FALSE)</f>
        <v>NB/T 47010-2017</v>
      </c>
      <c r="F117" s="4" t="s">
        <v>27</v>
      </c>
      <c r="G117" s="5">
        <v>7.9</v>
      </c>
      <c r="H117" s="4" t="s">
        <v>111</v>
      </c>
      <c r="I117" s="9"/>
      <c r="J117" s="9"/>
      <c r="K117" s="9"/>
      <c r="L117" s="15"/>
    </row>
    <row r="118" spans="2:12" x14ac:dyDescent="0.25">
      <c r="B118" s="4">
        <v>115</v>
      </c>
      <c r="C118" s="1" t="s">
        <v>44</v>
      </c>
      <c r="D118" s="4">
        <v>164</v>
      </c>
      <c r="E118" s="24" t="str">
        <f>VLOOKUP(D118,Standard!$B$2:$D$251,2,FALSE)</f>
        <v>NB/T 47010-2017</v>
      </c>
      <c r="F118" s="4" t="s">
        <v>28</v>
      </c>
      <c r="G118" s="5">
        <v>7.98</v>
      </c>
      <c r="H118" s="4" t="s">
        <v>111</v>
      </c>
      <c r="I118" s="9"/>
      <c r="J118" s="9"/>
      <c r="K118" s="9"/>
      <c r="L118" s="15"/>
    </row>
    <row r="119" spans="2:12" x14ac:dyDescent="0.25">
      <c r="B119" s="4">
        <v>116</v>
      </c>
      <c r="C119" s="1" t="s">
        <v>44</v>
      </c>
      <c r="D119" s="4">
        <v>164</v>
      </c>
      <c r="E119" s="24" t="str">
        <f>VLOOKUP(D119,Standard!$B$2:$D$251,2,FALSE)</f>
        <v>NB/T 47010-2017</v>
      </c>
      <c r="F119" s="4" t="s">
        <v>29</v>
      </c>
      <c r="G119" s="5">
        <v>8</v>
      </c>
      <c r="H119" s="4" t="s">
        <v>111</v>
      </c>
      <c r="I119" s="9"/>
      <c r="J119" s="9"/>
      <c r="K119" s="9"/>
      <c r="L119" s="15"/>
    </row>
    <row r="120" spans="2:12" x14ac:dyDescent="0.25">
      <c r="B120" s="4">
        <v>117</v>
      </c>
      <c r="C120" s="1" t="s">
        <v>44</v>
      </c>
      <c r="D120" s="4">
        <v>164</v>
      </c>
      <c r="E120" s="24" t="str">
        <f>VLOOKUP(D120,Standard!$B$2:$D$251,2,FALSE)</f>
        <v>NB/T 47010-2017</v>
      </c>
      <c r="F120" s="4" t="s">
        <v>30</v>
      </c>
      <c r="G120" s="5">
        <v>8</v>
      </c>
      <c r="H120" s="4" t="s">
        <v>111</v>
      </c>
      <c r="I120" s="9"/>
      <c r="J120" s="9"/>
      <c r="K120" s="9"/>
      <c r="L120" s="15"/>
    </row>
    <row r="121" spans="2:12" x14ac:dyDescent="0.25">
      <c r="B121" s="4">
        <v>118</v>
      </c>
      <c r="C121" s="1" t="s">
        <v>44</v>
      </c>
      <c r="D121" s="4">
        <v>164</v>
      </c>
      <c r="E121" s="24" t="str">
        <f>VLOOKUP(D121,Standard!$B$2:$D$251,2,FALSE)</f>
        <v>NB/T 47010-2017</v>
      </c>
      <c r="F121" s="4" t="s">
        <v>31</v>
      </c>
      <c r="G121" s="5">
        <v>7.9</v>
      </c>
      <c r="H121" s="4" t="s">
        <v>111</v>
      </c>
      <c r="I121" s="9"/>
      <c r="J121" s="9"/>
      <c r="K121" s="9"/>
      <c r="L121" s="15"/>
    </row>
    <row r="122" spans="2:12" x14ac:dyDescent="0.25">
      <c r="B122" s="4">
        <v>119</v>
      </c>
      <c r="C122" s="1" t="s">
        <v>44</v>
      </c>
      <c r="D122" s="4">
        <v>164</v>
      </c>
      <c r="E122" s="24" t="str">
        <f>VLOOKUP(D122,Standard!$B$2:$D$251,2,FALSE)</f>
        <v>NB/T 47010-2017</v>
      </c>
      <c r="F122" s="4" t="s">
        <v>33</v>
      </c>
      <c r="G122" s="5">
        <v>7.98</v>
      </c>
      <c r="H122" s="4" t="s">
        <v>111</v>
      </c>
      <c r="I122" s="9"/>
      <c r="J122" s="9"/>
      <c r="K122" s="9"/>
      <c r="L122" s="15"/>
    </row>
    <row r="123" spans="2:12" x14ac:dyDescent="0.25">
      <c r="B123" s="4">
        <v>120</v>
      </c>
      <c r="C123" s="1" t="s">
        <v>44</v>
      </c>
      <c r="D123" s="4">
        <v>164</v>
      </c>
      <c r="E123" s="24" t="str">
        <f>VLOOKUP(D123,Standard!$B$2:$D$251,2,FALSE)</f>
        <v>NB/T 47010-2017</v>
      </c>
      <c r="F123" s="4" t="s">
        <v>34</v>
      </c>
      <c r="G123" s="5">
        <v>8</v>
      </c>
      <c r="H123" s="4" t="s">
        <v>111</v>
      </c>
      <c r="I123" s="9"/>
      <c r="J123" s="9"/>
      <c r="K123" s="9"/>
      <c r="L123" s="15"/>
    </row>
    <row r="124" spans="2:12" x14ac:dyDescent="0.25">
      <c r="B124" s="4">
        <v>121</v>
      </c>
      <c r="C124" s="1" t="s">
        <v>44</v>
      </c>
      <c r="D124" s="4">
        <v>164</v>
      </c>
      <c r="E124" s="24" t="str">
        <f>VLOOKUP(D124,Standard!$B$2:$D$251,2,FALSE)</f>
        <v>NB/T 47010-2017</v>
      </c>
      <c r="F124" s="4" t="s">
        <v>35</v>
      </c>
      <c r="G124" s="5">
        <v>8</v>
      </c>
      <c r="H124" s="4" t="s">
        <v>111</v>
      </c>
      <c r="I124" s="9"/>
      <c r="J124" s="9"/>
      <c r="K124" s="9"/>
      <c r="L124" s="15"/>
    </row>
    <row r="125" spans="2:12" x14ac:dyDescent="0.25">
      <c r="B125" s="4">
        <v>122</v>
      </c>
      <c r="C125" s="1" t="s">
        <v>44</v>
      </c>
      <c r="D125" s="4">
        <v>164</v>
      </c>
      <c r="E125" s="24" t="str">
        <f>VLOOKUP(D125,Standard!$B$2:$D$251,2,FALSE)</f>
        <v>NB/T 47010-2017</v>
      </c>
      <c r="F125" s="4" t="s">
        <v>22</v>
      </c>
      <c r="G125" s="5">
        <v>7.7</v>
      </c>
      <c r="H125" s="4" t="s">
        <v>111</v>
      </c>
      <c r="I125" s="9"/>
      <c r="J125" s="9"/>
      <c r="K125" s="9"/>
      <c r="L125" s="15"/>
    </row>
    <row r="126" spans="2:12" x14ac:dyDescent="0.25">
      <c r="B126" s="4">
        <v>123</v>
      </c>
      <c r="C126" s="1" t="s">
        <v>44</v>
      </c>
      <c r="D126" s="4">
        <v>164</v>
      </c>
      <c r="E126" s="24" t="str">
        <f>VLOOKUP(D126,Standard!$B$2:$D$251,2,FALSE)</f>
        <v>NB/T 47010-2017</v>
      </c>
      <c r="F126" s="4" t="s">
        <v>23</v>
      </c>
      <c r="G126" s="5">
        <v>7.8</v>
      </c>
      <c r="H126" s="4" t="s">
        <v>111</v>
      </c>
      <c r="I126" s="9"/>
      <c r="J126" s="9"/>
      <c r="K126" s="9"/>
      <c r="L126" s="15"/>
    </row>
    <row r="127" spans="2:12" x14ac:dyDescent="0.25">
      <c r="B127" s="4">
        <v>124</v>
      </c>
      <c r="C127" s="1" t="s">
        <v>44</v>
      </c>
      <c r="D127" s="4">
        <v>164</v>
      </c>
      <c r="E127" s="24" t="str">
        <f>VLOOKUP(D127,Standard!$B$2:$D$251,2,FALSE)</f>
        <v>NB/T 47010-2017</v>
      </c>
      <c r="F127" s="4" t="s">
        <v>24</v>
      </c>
      <c r="G127" s="5">
        <v>7.8</v>
      </c>
      <c r="H127" s="4" t="s">
        <v>111</v>
      </c>
      <c r="I127" s="9">
        <v>-20</v>
      </c>
      <c r="J127" s="9">
        <v>0</v>
      </c>
      <c r="K127" s="9">
        <v>41</v>
      </c>
      <c r="L127" s="15"/>
    </row>
    <row r="128" spans="2:12" x14ac:dyDescent="0.25">
      <c r="B128" s="4">
        <v>125</v>
      </c>
      <c r="C128" s="1" t="s">
        <v>59</v>
      </c>
      <c r="D128" s="4">
        <v>57</v>
      </c>
      <c r="E128" s="24" t="str">
        <f>VLOOKUP(D128,Standard!$B$2:$D$251,2,FALSE)</f>
        <v>GB/T 699-2015</v>
      </c>
      <c r="F128" s="4">
        <v>20</v>
      </c>
      <c r="G128" s="5">
        <v>7.85</v>
      </c>
      <c r="H128" s="4" t="s">
        <v>110</v>
      </c>
      <c r="I128" s="9">
        <v>0</v>
      </c>
      <c r="J128" s="9">
        <v>0</v>
      </c>
      <c r="K128" s="9">
        <v>41</v>
      </c>
      <c r="L128" s="15"/>
    </row>
    <row r="129" spans="2:12" x14ac:dyDescent="0.25">
      <c r="B129" s="4">
        <v>126</v>
      </c>
      <c r="C129" s="1" t="s">
        <v>59</v>
      </c>
      <c r="D129" s="4">
        <v>57</v>
      </c>
      <c r="E129" s="24" t="str">
        <f>VLOOKUP(D129,Standard!$B$2:$D$251,2,FALSE)</f>
        <v>GB/T 699-2015</v>
      </c>
      <c r="F129" s="4">
        <v>35</v>
      </c>
      <c r="G129" s="5">
        <v>7.85</v>
      </c>
      <c r="H129" s="4" t="s">
        <v>110</v>
      </c>
      <c r="I129" s="9">
        <v>0</v>
      </c>
      <c r="J129" s="9">
        <v>0</v>
      </c>
      <c r="K129" s="9">
        <v>41</v>
      </c>
      <c r="L129" s="15"/>
    </row>
    <row r="130" spans="2:12" x14ac:dyDescent="0.25">
      <c r="B130" s="4">
        <v>127</v>
      </c>
      <c r="C130" s="1" t="s">
        <v>59</v>
      </c>
      <c r="D130" s="4">
        <v>46</v>
      </c>
      <c r="E130" s="24" t="str">
        <f>VLOOKUP(D130,Standard!$B$2:$D$251,2,FALSE)</f>
        <v>GB/T 3077-2015</v>
      </c>
      <c r="F130" s="4" t="s">
        <v>60</v>
      </c>
      <c r="G130" s="5">
        <v>7.85</v>
      </c>
      <c r="H130" s="4" t="s">
        <v>110</v>
      </c>
      <c r="I130" s="9">
        <v>0</v>
      </c>
      <c r="J130" s="9">
        <v>0</v>
      </c>
      <c r="K130" s="9">
        <v>41</v>
      </c>
      <c r="L130" s="15"/>
    </row>
    <row r="131" spans="2:12" x14ac:dyDescent="0.25">
      <c r="B131" s="4">
        <v>128</v>
      </c>
      <c r="C131" s="1" t="s">
        <v>59</v>
      </c>
      <c r="D131" s="4">
        <v>46</v>
      </c>
      <c r="E131" s="24" t="str">
        <f>VLOOKUP(D131,Standard!$B$2:$D$251,2,FALSE)</f>
        <v>GB/T 3077-2015</v>
      </c>
      <c r="F131" s="4" t="s">
        <v>61</v>
      </c>
      <c r="G131" s="5">
        <v>7.85</v>
      </c>
      <c r="H131" s="4" t="s">
        <v>110</v>
      </c>
      <c r="I131" s="9">
        <v>0</v>
      </c>
      <c r="J131" s="9">
        <v>0</v>
      </c>
      <c r="K131" s="9">
        <v>41</v>
      </c>
      <c r="L131" s="15"/>
    </row>
    <row r="132" spans="2:12" x14ac:dyDescent="0.25">
      <c r="B132" s="4">
        <v>129</v>
      </c>
      <c r="C132" s="1" t="s">
        <v>59</v>
      </c>
      <c r="D132" s="4">
        <v>46</v>
      </c>
      <c r="E132" s="24" t="str">
        <f>VLOOKUP(D132,Standard!$B$2:$D$251,2,FALSE)</f>
        <v>GB/T 3077-2015</v>
      </c>
      <c r="F132" s="4" t="s">
        <v>62</v>
      </c>
      <c r="G132" s="5">
        <v>7.85</v>
      </c>
      <c r="H132" s="4" t="s">
        <v>110</v>
      </c>
      <c r="I132" s="9">
        <v>-100</v>
      </c>
      <c r="J132" s="9">
        <v>0</v>
      </c>
      <c r="K132" s="9">
        <v>60</v>
      </c>
      <c r="L132" s="15"/>
    </row>
    <row r="133" spans="2:12" x14ac:dyDescent="0.25">
      <c r="B133" s="4">
        <v>130</v>
      </c>
      <c r="C133" s="1" t="s">
        <v>59</v>
      </c>
      <c r="D133" s="4">
        <v>46</v>
      </c>
      <c r="E133" s="24" t="str">
        <f>VLOOKUP(D133,Standard!$B$2:$D$251,2,FALSE)</f>
        <v>GB/T 3077-2015</v>
      </c>
      <c r="F133" s="4" t="s">
        <v>63</v>
      </c>
      <c r="G133" s="5">
        <v>7.85</v>
      </c>
      <c r="H133" s="4" t="s">
        <v>110</v>
      </c>
      <c r="I133" s="9">
        <v>-70</v>
      </c>
      <c r="J133" s="9">
        <v>0</v>
      </c>
      <c r="K133" s="9">
        <v>54</v>
      </c>
      <c r="L133" s="15"/>
    </row>
    <row r="134" spans="2:12" x14ac:dyDescent="0.25">
      <c r="B134" s="4">
        <v>131</v>
      </c>
      <c r="C134" s="1" t="s">
        <v>59</v>
      </c>
      <c r="D134" s="4">
        <v>46</v>
      </c>
      <c r="E134" s="24" t="str">
        <f>VLOOKUP(D134,Standard!$B$2:$D$251,2,FALSE)</f>
        <v>GB/T 3077-2015</v>
      </c>
      <c r="F134" s="4" t="s">
        <v>64</v>
      </c>
      <c r="G134" s="5">
        <v>7.85</v>
      </c>
      <c r="H134" s="4" t="s">
        <v>110</v>
      </c>
      <c r="I134" s="9">
        <v>-20</v>
      </c>
      <c r="J134" s="9">
        <v>0</v>
      </c>
      <c r="K134" s="9">
        <v>47</v>
      </c>
      <c r="L134" s="15"/>
    </row>
    <row r="135" spans="2:12" x14ac:dyDescent="0.25">
      <c r="B135" s="4">
        <v>132</v>
      </c>
      <c r="C135" s="1" t="s">
        <v>59</v>
      </c>
      <c r="D135" s="4">
        <v>46</v>
      </c>
      <c r="E135" s="24" t="str">
        <f>VLOOKUP(D135,Standard!$B$2:$D$251,2,FALSE)</f>
        <v>GB/T 3077-2015</v>
      </c>
      <c r="F135" s="4" t="s">
        <v>65</v>
      </c>
      <c r="G135" s="5">
        <v>7.85</v>
      </c>
      <c r="H135" s="4" t="s">
        <v>110</v>
      </c>
      <c r="I135" s="9">
        <v>-20</v>
      </c>
      <c r="J135" s="9">
        <v>0</v>
      </c>
      <c r="K135" s="9">
        <v>47</v>
      </c>
      <c r="L135" s="15"/>
    </row>
    <row r="136" spans="2:12" x14ac:dyDescent="0.25">
      <c r="B136" s="4">
        <v>133</v>
      </c>
      <c r="C136" s="1" t="s">
        <v>59</v>
      </c>
      <c r="D136" s="4">
        <v>46</v>
      </c>
      <c r="E136" s="24" t="str">
        <f>VLOOKUP(D136,Standard!$B$2:$D$251,2,FALSE)</f>
        <v>GB/T 3077-2015</v>
      </c>
      <c r="F136" s="4" t="s">
        <v>66</v>
      </c>
      <c r="G136" s="5">
        <v>7.85</v>
      </c>
      <c r="H136" s="4" t="s">
        <v>110</v>
      </c>
      <c r="I136" s="9">
        <v>-50</v>
      </c>
      <c r="J136" s="9">
        <v>0</v>
      </c>
      <c r="K136" s="9">
        <v>60</v>
      </c>
      <c r="L136" s="15"/>
    </row>
    <row r="137" spans="2:12" x14ac:dyDescent="0.25">
      <c r="B137" s="4">
        <v>134</v>
      </c>
      <c r="C137" s="1" t="s">
        <v>59</v>
      </c>
      <c r="D137" s="4">
        <v>46</v>
      </c>
      <c r="E137" s="24" t="str">
        <f>VLOOKUP(D137,Standard!$B$2:$D$251,2,FALSE)</f>
        <v>GB/T 3077-2015</v>
      </c>
      <c r="F137" s="4" t="s">
        <v>67</v>
      </c>
      <c r="G137" s="5">
        <v>7.85</v>
      </c>
      <c r="H137" s="4" t="s">
        <v>110</v>
      </c>
      <c r="I137" s="9">
        <v>-20</v>
      </c>
      <c r="J137" s="9">
        <v>0</v>
      </c>
      <c r="K137" s="9">
        <v>47</v>
      </c>
      <c r="L137" s="15"/>
    </row>
    <row r="138" spans="2:12" x14ac:dyDescent="0.25">
      <c r="B138" s="1">
        <v>135</v>
      </c>
      <c r="C138" s="1" t="s">
        <v>59</v>
      </c>
      <c r="D138" s="4">
        <v>13</v>
      </c>
      <c r="E138" s="24" t="str">
        <f>VLOOKUP(D138,Standard!$B$2:$D$251,2,FALSE)</f>
        <v>GB/T 1221-2007</v>
      </c>
      <c r="F138" s="4" t="s">
        <v>40</v>
      </c>
      <c r="G138" s="5">
        <v>7.85</v>
      </c>
      <c r="H138" s="4" t="s">
        <v>110</v>
      </c>
      <c r="I138" s="1"/>
      <c r="J138" s="1"/>
      <c r="K138" s="1"/>
      <c r="L138" s="1" t="s">
        <v>663</v>
      </c>
    </row>
    <row r="139" spans="2:12" x14ac:dyDescent="0.25">
      <c r="B139" s="1">
        <v>136</v>
      </c>
      <c r="C139" s="1" t="s">
        <v>105</v>
      </c>
      <c r="D139" s="4">
        <v>47</v>
      </c>
      <c r="E139" s="24" t="str">
        <f>VLOOKUP(D139,Standard!$B$2:$D$251,2,FALSE)</f>
        <v>GB/T 3274-2017</v>
      </c>
      <c r="F139" s="1" t="s">
        <v>106</v>
      </c>
      <c r="G139" s="5">
        <v>7.85</v>
      </c>
      <c r="H139" s="4" t="s">
        <v>110</v>
      </c>
      <c r="I139" s="1"/>
      <c r="J139" s="1"/>
      <c r="K139" s="1"/>
      <c r="L139" s="1" t="s">
        <v>663</v>
      </c>
    </row>
    <row r="140" spans="2:12" x14ac:dyDescent="0.25">
      <c r="B140" s="1">
        <v>137</v>
      </c>
      <c r="C140" s="1" t="s">
        <v>105</v>
      </c>
      <c r="D140" s="4">
        <v>47</v>
      </c>
      <c r="E140" s="24" t="str">
        <f>VLOOKUP(D140,Standard!$B$2:$D$251,2,FALSE)</f>
        <v>GB/T 3274-2017</v>
      </c>
      <c r="F140" s="1" t="s">
        <v>107</v>
      </c>
      <c r="G140" s="5">
        <v>7.85</v>
      </c>
      <c r="H140" s="4" t="s">
        <v>110</v>
      </c>
      <c r="I140" s="1"/>
      <c r="J140" s="1"/>
      <c r="K140" s="1"/>
      <c r="L140" s="1" t="s">
        <v>663</v>
      </c>
    </row>
    <row r="141" spans="2:12" x14ac:dyDescent="0.25">
      <c r="B141" s="1">
        <v>138</v>
      </c>
      <c r="C141" s="1" t="s">
        <v>105</v>
      </c>
      <c r="D141" s="4">
        <v>47</v>
      </c>
      <c r="E141" s="24" t="str">
        <f>VLOOKUP(D141,Standard!$B$2:$D$251,2,FALSE)</f>
        <v>GB/T 3274-2017</v>
      </c>
      <c r="F141" s="1" t="s">
        <v>108</v>
      </c>
      <c r="G141" s="5">
        <v>7.85</v>
      </c>
      <c r="H141" s="4" t="s">
        <v>110</v>
      </c>
      <c r="I141" s="1">
        <v>-10</v>
      </c>
      <c r="J141" s="1">
        <v>-10</v>
      </c>
      <c r="K141" s="1">
        <v>55</v>
      </c>
      <c r="L141" s="1" t="s">
        <v>664</v>
      </c>
    </row>
    <row r="142" spans="2:12" x14ac:dyDescent="0.25">
      <c r="B142" s="1">
        <v>142</v>
      </c>
      <c r="C142" s="1" t="s">
        <v>105</v>
      </c>
      <c r="D142" s="4">
        <v>48</v>
      </c>
      <c r="E142" s="26" t="str">
        <f>VLOOKUP(D142,Standard!$B$2:$D$251,2,FALSE)</f>
        <v>GB/T 713.2-2023</v>
      </c>
      <c r="F142" s="1" t="s">
        <v>710</v>
      </c>
      <c r="G142" s="5">
        <v>7.85</v>
      </c>
      <c r="H142" s="4" t="s">
        <v>110</v>
      </c>
      <c r="I142" s="9">
        <v>-20</v>
      </c>
      <c r="J142" s="9">
        <v>-20</v>
      </c>
      <c r="K142" s="9">
        <v>60</v>
      </c>
      <c r="L142" s="15" t="s">
        <v>631</v>
      </c>
    </row>
    <row r="143" spans="2:12" x14ac:dyDescent="0.25">
      <c r="B143" s="1">
        <v>143</v>
      </c>
      <c r="C143" s="1" t="s">
        <v>118</v>
      </c>
      <c r="D143" s="4">
        <v>250</v>
      </c>
      <c r="E143" s="24" t="str">
        <f>VLOOKUP(D143,Standard!$B$2:$D$251,2,FALSE)</f>
        <v>NB/T 4706-2015</v>
      </c>
      <c r="F143" s="4" t="s">
        <v>75</v>
      </c>
      <c r="G143" s="4">
        <v>8.89</v>
      </c>
      <c r="H143" s="4" t="s">
        <v>113</v>
      </c>
      <c r="I143" s="7"/>
      <c r="J143" s="7"/>
      <c r="K143" s="7"/>
      <c r="L143" s="7"/>
    </row>
    <row r="144" spans="2:12" x14ac:dyDescent="0.25">
      <c r="B144" s="1">
        <v>144</v>
      </c>
      <c r="C144" s="1" t="s">
        <v>118</v>
      </c>
      <c r="D144" s="4">
        <v>250</v>
      </c>
      <c r="E144" s="24" t="str">
        <f>VLOOKUP(D144,Standard!$B$2:$D$251,2,FALSE)</f>
        <v>NB/T 4706-2015</v>
      </c>
      <c r="F144" s="4" t="s">
        <v>76</v>
      </c>
      <c r="G144" s="4">
        <v>8.89</v>
      </c>
      <c r="H144" s="4" t="s">
        <v>113</v>
      </c>
      <c r="I144" s="7"/>
      <c r="J144" s="7"/>
      <c r="K144" s="7"/>
      <c r="L144" s="7"/>
    </row>
    <row r="145" spans="2:12" x14ac:dyDescent="0.25">
      <c r="B145" s="1">
        <v>145</v>
      </c>
      <c r="C145" s="1" t="s">
        <v>118</v>
      </c>
      <c r="D145" s="4">
        <v>250</v>
      </c>
      <c r="E145" s="24" t="str">
        <f>VLOOKUP(D145,Standard!$B$2:$D$251,2,FALSE)</f>
        <v>NB/T 4706-2015</v>
      </c>
      <c r="F145" s="4" t="s">
        <v>77</v>
      </c>
      <c r="G145" s="4">
        <v>8.83</v>
      </c>
      <c r="H145" s="4" t="s">
        <v>113</v>
      </c>
      <c r="I145" s="7"/>
      <c r="J145" s="7"/>
      <c r="K145" s="7"/>
      <c r="L145" s="7"/>
    </row>
    <row r="146" spans="2:12" x14ac:dyDescent="0.25">
      <c r="B146" s="1">
        <v>146</v>
      </c>
      <c r="C146" s="1" t="s">
        <v>118</v>
      </c>
      <c r="D146" s="4">
        <v>250</v>
      </c>
      <c r="E146" s="24" t="str">
        <f>VLOOKUP(D146,Standard!$B$2:$D$251,2,FALSE)</f>
        <v>NB/T 4706-2015</v>
      </c>
      <c r="F146" s="4" t="s">
        <v>78</v>
      </c>
      <c r="G146" s="4">
        <v>7.94</v>
      </c>
      <c r="H146" s="4" t="s">
        <v>113</v>
      </c>
      <c r="I146" s="7"/>
      <c r="J146" s="7"/>
      <c r="K146" s="7"/>
      <c r="L146" s="7"/>
    </row>
    <row r="147" spans="2:12" x14ac:dyDescent="0.25">
      <c r="B147" s="1">
        <v>147</v>
      </c>
      <c r="C147" s="1" t="s">
        <v>118</v>
      </c>
      <c r="D147" s="4">
        <v>250</v>
      </c>
      <c r="E147" s="24" t="str">
        <f>VLOOKUP(D147,Standard!$B$2:$D$251,2,FALSE)</f>
        <v>NB/T 4706-2015</v>
      </c>
      <c r="F147" s="4" t="s">
        <v>79</v>
      </c>
      <c r="G147" s="4">
        <v>7.94</v>
      </c>
      <c r="H147" s="4" t="s">
        <v>113</v>
      </c>
      <c r="I147" s="7"/>
      <c r="J147" s="7"/>
      <c r="K147" s="7"/>
      <c r="L147" s="7"/>
    </row>
    <row r="148" spans="2:12" x14ac:dyDescent="0.25">
      <c r="B148" s="1">
        <v>148</v>
      </c>
      <c r="C148" s="1" t="s">
        <v>118</v>
      </c>
      <c r="D148" s="4">
        <v>250</v>
      </c>
      <c r="E148" s="24" t="str">
        <f>VLOOKUP(D148,Standard!$B$2:$D$251,2,FALSE)</f>
        <v>NB/T 4706-2015</v>
      </c>
      <c r="F148" s="4" t="s">
        <v>80</v>
      </c>
      <c r="G148" s="4">
        <v>8.14</v>
      </c>
      <c r="H148" s="4" t="s">
        <v>113</v>
      </c>
      <c r="I148" s="7"/>
      <c r="J148" s="7"/>
      <c r="K148" s="7"/>
      <c r="L148" s="7"/>
    </row>
    <row r="149" spans="2:12" x14ac:dyDescent="0.25">
      <c r="B149" s="1">
        <v>149</v>
      </c>
      <c r="C149" s="1" t="s">
        <v>118</v>
      </c>
      <c r="D149" s="4">
        <v>250</v>
      </c>
      <c r="E149" s="24" t="str">
        <f>VLOOKUP(D149,Standard!$B$2:$D$251,2,FALSE)</f>
        <v>NB/T 4706-2015</v>
      </c>
      <c r="F149" s="4" t="s">
        <v>81</v>
      </c>
      <c r="G149" s="4">
        <v>8.42</v>
      </c>
      <c r="H149" s="4" t="s">
        <v>113</v>
      </c>
      <c r="I149" s="7"/>
      <c r="J149" s="7"/>
      <c r="K149" s="7"/>
      <c r="L149" s="7"/>
    </row>
    <row r="150" spans="2:12" x14ac:dyDescent="0.25">
      <c r="B150" s="1">
        <v>150</v>
      </c>
      <c r="C150" s="1" t="s">
        <v>118</v>
      </c>
      <c r="D150" s="4">
        <v>250</v>
      </c>
      <c r="E150" s="24" t="str">
        <f>VLOOKUP(D150,Standard!$B$2:$D$251,2,FALSE)</f>
        <v>NB/T 4706-2015</v>
      </c>
      <c r="F150" s="6" t="s">
        <v>82</v>
      </c>
      <c r="G150" s="4">
        <v>9.2200000000000006</v>
      </c>
      <c r="H150" s="4" t="s">
        <v>113</v>
      </c>
      <c r="I150" s="7"/>
      <c r="J150" s="7"/>
      <c r="K150" s="7"/>
      <c r="L150" s="7"/>
    </row>
    <row r="151" spans="2:12" x14ac:dyDescent="0.25">
      <c r="B151" s="1">
        <v>151</v>
      </c>
      <c r="C151" s="1" t="s">
        <v>118</v>
      </c>
      <c r="D151" s="4">
        <v>250</v>
      </c>
      <c r="E151" s="24" t="str">
        <f>VLOOKUP(D151,Standard!$B$2:$D$251,2,FALSE)</f>
        <v>NB/T 4706-2015</v>
      </c>
      <c r="F151" s="4" t="s">
        <v>83</v>
      </c>
      <c r="G151" s="4">
        <v>8.8699999999999992</v>
      </c>
      <c r="H151" s="4" t="s">
        <v>113</v>
      </c>
      <c r="I151" s="7"/>
      <c r="J151" s="7"/>
      <c r="K151" s="7"/>
      <c r="L151" s="7"/>
    </row>
    <row r="152" spans="2:12" x14ac:dyDescent="0.25">
      <c r="B152" s="1">
        <v>152</v>
      </c>
      <c r="C152" s="1" t="s">
        <v>118</v>
      </c>
      <c r="D152" s="4">
        <v>250</v>
      </c>
      <c r="E152" s="24" t="str">
        <f>VLOOKUP(D152,Standard!$B$2:$D$251,2,FALSE)</f>
        <v>NB/T 4706-2015</v>
      </c>
      <c r="F152" s="4" t="s">
        <v>84</v>
      </c>
      <c r="G152" s="4">
        <v>8.64</v>
      </c>
      <c r="H152" s="4" t="s">
        <v>113</v>
      </c>
      <c r="I152" s="7"/>
      <c r="J152" s="7"/>
      <c r="K152" s="7"/>
      <c r="L152" s="7"/>
    </row>
    <row r="153" spans="2:12" x14ac:dyDescent="0.25">
      <c r="B153" s="1">
        <v>153</v>
      </c>
      <c r="C153" s="1" t="s">
        <v>118</v>
      </c>
      <c r="D153" s="4">
        <v>250</v>
      </c>
      <c r="E153" s="24" t="str">
        <f>VLOOKUP(D153,Standard!$B$2:$D$251,2,FALSE)</f>
        <v>NB/T 4706-2015</v>
      </c>
      <c r="F153" s="4" t="s">
        <v>85</v>
      </c>
      <c r="G153" s="4">
        <v>8.8000000000000007</v>
      </c>
      <c r="H153" s="4" t="s">
        <v>113</v>
      </c>
      <c r="I153" s="7"/>
      <c r="J153" s="7"/>
      <c r="K153" s="7"/>
      <c r="L153" s="7"/>
    </row>
    <row r="154" spans="2:12" x14ac:dyDescent="0.25">
      <c r="B154" s="1">
        <v>154</v>
      </c>
      <c r="C154" s="1" t="s">
        <v>119</v>
      </c>
      <c r="D154" s="4">
        <v>242</v>
      </c>
      <c r="E154" s="24" t="str">
        <f>VLOOKUP(D154,Standard!$B$2:$D$251,2,FALSE)</f>
        <v>GB/T 3621-2007</v>
      </c>
      <c r="F154" s="4" t="s">
        <v>87</v>
      </c>
      <c r="G154" s="4">
        <v>4.5</v>
      </c>
      <c r="H154" s="4" t="s">
        <v>115</v>
      </c>
      <c r="I154" s="7"/>
      <c r="J154" s="7"/>
      <c r="K154" s="7"/>
      <c r="L154" s="7"/>
    </row>
    <row r="155" spans="2:12" x14ac:dyDescent="0.25">
      <c r="B155" s="1">
        <v>155</v>
      </c>
      <c r="C155" s="1" t="s">
        <v>119</v>
      </c>
      <c r="D155" s="4">
        <v>242</v>
      </c>
      <c r="E155" s="24" t="str">
        <f>VLOOKUP(D155,Standard!$B$2:$D$251,2,FALSE)</f>
        <v>GB/T 3621-2007</v>
      </c>
      <c r="F155" s="4" t="s">
        <v>88</v>
      </c>
      <c r="G155" s="4">
        <v>4.5</v>
      </c>
      <c r="H155" s="4" t="s">
        <v>115</v>
      </c>
      <c r="I155" s="7"/>
      <c r="J155" s="7"/>
      <c r="K155" s="7"/>
      <c r="L155" s="7"/>
    </row>
    <row r="156" spans="2:12" x14ac:dyDescent="0.25">
      <c r="B156" s="1">
        <v>156</v>
      </c>
      <c r="C156" s="1" t="s">
        <v>119</v>
      </c>
      <c r="D156" s="4">
        <v>242</v>
      </c>
      <c r="E156" s="24" t="str">
        <f>VLOOKUP(D156,Standard!$B$2:$D$251,2,FALSE)</f>
        <v>GB/T 3621-2007</v>
      </c>
      <c r="F156" s="4" t="s">
        <v>89</v>
      </c>
      <c r="G156" s="4">
        <v>4.5</v>
      </c>
      <c r="H156" s="4" t="s">
        <v>115</v>
      </c>
      <c r="I156" s="7"/>
      <c r="J156" s="7"/>
      <c r="K156" s="7"/>
      <c r="L156" s="7"/>
    </row>
    <row r="157" spans="2:12" x14ac:dyDescent="0.25">
      <c r="B157" s="1">
        <v>157</v>
      </c>
      <c r="C157" s="1" t="s">
        <v>119</v>
      </c>
      <c r="D157" s="4">
        <v>242</v>
      </c>
      <c r="E157" s="24" t="str">
        <f>VLOOKUP(D157,Standard!$B$2:$D$251,2,FALSE)</f>
        <v>GB/T 3621-2007</v>
      </c>
      <c r="F157" s="4" t="s">
        <v>90</v>
      </c>
      <c r="G157" s="4">
        <v>4.55</v>
      </c>
      <c r="H157" s="4" t="s">
        <v>115</v>
      </c>
      <c r="I157" s="7"/>
      <c r="J157" s="7"/>
      <c r="K157" s="7"/>
      <c r="L157" s="7"/>
    </row>
    <row r="158" spans="2:12" x14ac:dyDescent="0.25">
      <c r="B158" s="1">
        <v>158</v>
      </c>
      <c r="C158" s="1" t="s">
        <v>119</v>
      </c>
      <c r="D158" s="4">
        <v>242</v>
      </c>
      <c r="E158" s="24" t="str">
        <f>VLOOKUP(D158,Standard!$B$2:$D$251,2,FALSE)</f>
        <v>GB/T 3621-2007</v>
      </c>
      <c r="F158" s="4" t="s">
        <v>91</v>
      </c>
      <c r="G158" s="4">
        <v>4.5599999999999996</v>
      </c>
      <c r="H158" s="4" t="s">
        <v>115</v>
      </c>
      <c r="I158" s="7"/>
      <c r="J158" s="7"/>
      <c r="K158" s="7"/>
      <c r="L158" s="7"/>
    </row>
    <row r="159" spans="2:12" x14ac:dyDescent="0.25">
      <c r="B159" s="1">
        <v>159</v>
      </c>
      <c r="C159" s="1" t="s">
        <v>120</v>
      </c>
      <c r="D159" s="4">
        <v>232</v>
      </c>
      <c r="E159" s="24" t="str">
        <f>VLOOKUP(D159,Standard!$B$2:$D$251,2,FALSE)</f>
        <v>GB/T 2040-2017</v>
      </c>
      <c r="F159" s="4" t="s">
        <v>93</v>
      </c>
      <c r="G159" s="4">
        <v>8.93</v>
      </c>
      <c r="H159" s="4" t="s">
        <v>114</v>
      </c>
      <c r="I159" s="7"/>
      <c r="J159" s="7"/>
      <c r="K159" s="7"/>
      <c r="L159" s="7"/>
    </row>
    <row r="160" spans="2:12" x14ac:dyDescent="0.25">
      <c r="B160" s="1">
        <v>160</v>
      </c>
      <c r="C160" s="1" t="s">
        <v>120</v>
      </c>
      <c r="D160" s="4">
        <v>232</v>
      </c>
      <c r="E160" s="24" t="str">
        <f>VLOOKUP(D160,Standard!$B$2:$D$251,2,FALSE)</f>
        <v>GB/T 2040-2017</v>
      </c>
      <c r="F160" s="4" t="s">
        <v>94</v>
      </c>
      <c r="G160" s="4">
        <v>8.93</v>
      </c>
      <c r="H160" s="4" t="s">
        <v>114</v>
      </c>
      <c r="I160" s="7"/>
      <c r="J160" s="7"/>
      <c r="K160" s="7"/>
      <c r="L160" s="7"/>
    </row>
    <row r="161" spans="2:12" x14ac:dyDescent="0.25">
      <c r="B161" s="1">
        <v>161</v>
      </c>
      <c r="C161" s="1" t="s">
        <v>120</v>
      </c>
      <c r="D161" s="4">
        <v>232</v>
      </c>
      <c r="E161" s="24" t="str">
        <f>VLOOKUP(D161,Standard!$B$2:$D$251,2,FALSE)</f>
        <v>GB/T 2040-2017</v>
      </c>
      <c r="F161" s="4" t="s">
        <v>95</v>
      </c>
      <c r="G161" s="4">
        <v>8.5299999999999994</v>
      </c>
      <c r="H161" s="4" t="s">
        <v>114</v>
      </c>
      <c r="I161" s="7"/>
      <c r="J161" s="7"/>
      <c r="K161" s="7"/>
      <c r="L161" s="7"/>
    </row>
    <row r="162" spans="2:12" x14ac:dyDescent="0.25">
      <c r="B162" s="1">
        <v>162</v>
      </c>
      <c r="C162" s="1" t="s">
        <v>120</v>
      </c>
      <c r="D162" s="4">
        <v>232</v>
      </c>
      <c r="E162" s="24" t="str">
        <f>VLOOKUP(D162,Standard!$B$2:$D$251,2,FALSE)</f>
        <v>GB/T 2040-2017</v>
      </c>
      <c r="F162" s="4" t="s">
        <v>96</v>
      </c>
      <c r="G162" s="4">
        <v>8.43</v>
      </c>
      <c r="H162" s="4" t="s">
        <v>114</v>
      </c>
      <c r="I162" s="7"/>
      <c r="J162" s="7"/>
      <c r="K162" s="7"/>
      <c r="L162" s="7"/>
    </row>
    <row r="163" spans="2:12" x14ac:dyDescent="0.25">
      <c r="B163" s="1">
        <v>163</v>
      </c>
      <c r="C163" s="1" t="s">
        <v>120</v>
      </c>
      <c r="D163" s="4">
        <v>232</v>
      </c>
      <c r="E163" s="24" t="str">
        <f>VLOOKUP(D163,Standard!$B$2:$D$251,2,FALSE)</f>
        <v>GB/T 2040-2017</v>
      </c>
      <c r="F163" s="4" t="s">
        <v>97</v>
      </c>
      <c r="G163" s="4">
        <v>8.4499999999999993</v>
      </c>
      <c r="H163" s="4" t="s">
        <v>114</v>
      </c>
      <c r="I163" s="7"/>
      <c r="J163" s="7"/>
      <c r="K163" s="7"/>
      <c r="L163" s="7"/>
    </row>
    <row r="164" spans="2:12" x14ac:dyDescent="0.25">
      <c r="B164" s="1">
        <v>164</v>
      </c>
      <c r="C164" s="1" t="s">
        <v>120</v>
      </c>
      <c r="D164" s="4">
        <v>232</v>
      </c>
      <c r="E164" s="24" t="str">
        <f>VLOOKUP(D164,Standard!$B$2:$D$251,2,FALSE)</f>
        <v>GB/T 2040-2017</v>
      </c>
      <c r="F164" s="4" t="s">
        <v>98</v>
      </c>
      <c r="G164" s="4">
        <v>8.8000000000000007</v>
      </c>
      <c r="H164" s="4" t="s">
        <v>114</v>
      </c>
      <c r="I164" s="7"/>
      <c r="J164" s="7"/>
      <c r="K164" s="7"/>
      <c r="L164" s="7"/>
    </row>
    <row r="165" spans="2:12" x14ac:dyDescent="0.25">
      <c r="B165" s="1">
        <v>165</v>
      </c>
      <c r="C165" s="1" t="s">
        <v>120</v>
      </c>
      <c r="D165" s="4">
        <v>232</v>
      </c>
      <c r="E165" s="24" t="str">
        <f>VLOOKUP(D165,Standard!$B$2:$D$251,2,FALSE)</f>
        <v>GB/T 2040-2017</v>
      </c>
      <c r="F165" s="4" t="s">
        <v>99</v>
      </c>
      <c r="G165" s="4">
        <v>7.6</v>
      </c>
      <c r="H165" s="4" t="s">
        <v>114</v>
      </c>
      <c r="I165" s="7"/>
      <c r="J165" s="7"/>
      <c r="K165" s="7"/>
      <c r="L165" s="7"/>
    </row>
    <row r="166" spans="2:12" x14ac:dyDescent="0.25">
      <c r="B166" s="1">
        <v>166</v>
      </c>
      <c r="C166" s="1" t="s">
        <v>120</v>
      </c>
      <c r="D166" s="4">
        <v>232</v>
      </c>
      <c r="E166" s="24" t="str">
        <f>VLOOKUP(D166,Standard!$B$2:$D$251,2,FALSE)</f>
        <v>GB/T 2040-2017</v>
      </c>
      <c r="F166" s="4" t="s">
        <v>100</v>
      </c>
      <c r="G166" s="4">
        <v>8.9</v>
      </c>
      <c r="H166" s="4" t="s">
        <v>114</v>
      </c>
      <c r="I166" s="7"/>
      <c r="J166" s="7"/>
      <c r="K166" s="7"/>
      <c r="L166" s="7"/>
    </row>
    <row r="167" spans="2:12" x14ac:dyDescent="0.25">
      <c r="B167" s="1">
        <v>167</v>
      </c>
      <c r="C167" s="1" t="s">
        <v>120</v>
      </c>
      <c r="D167" s="4">
        <v>232</v>
      </c>
      <c r="E167" s="24" t="str">
        <f>VLOOKUP(D167,Standard!$B$2:$D$251,2,FALSE)</f>
        <v>GB/T 2040-2017</v>
      </c>
      <c r="F167" s="4" t="s">
        <v>101</v>
      </c>
      <c r="G167" s="4">
        <v>8.9</v>
      </c>
      <c r="H167" s="4" t="s">
        <v>114</v>
      </c>
      <c r="I167" s="7"/>
      <c r="J167" s="7"/>
      <c r="K167" s="7"/>
      <c r="L167" s="7"/>
    </row>
    <row r="168" spans="2:12" x14ac:dyDescent="0.25">
      <c r="B168" s="1">
        <v>168</v>
      </c>
      <c r="C168" s="1" t="s">
        <v>120</v>
      </c>
      <c r="D168" s="4">
        <v>232</v>
      </c>
      <c r="E168" s="24" t="str">
        <f>VLOOKUP(D168,Standard!$B$2:$D$251,2,FALSE)</f>
        <v>GB/T 2040-2017</v>
      </c>
      <c r="F168" s="4" t="s">
        <v>102</v>
      </c>
      <c r="G168" s="4">
        <v>8.9</v>
      </c>
      <c r="H168" s="4" t="s">
        <v>114</v>
      </c>
      <c r="I168" s="7"/>
      <c r="J168" s="7"/>
      <c r="K168" s="7"/>
      <c r="L168" s="7"/>
    </row>
    <row r="169" spans="2:12" x14ac:dyDescent="0.25">
      <c r="B169" s="1">
        <v>169</v>
      </c>
      <c r="C169" s="2" t="s">
        <v>121</v>
      </c>
      <c r="D169" s="4">
        <v>165</v>
      </c>
      <c r="E169" s="24" t="str">
        <f>VLOOKUP(D169,Standard!$B$2:$D$251,2,FALSE)</f>
        <v>NB/T 47011-2010</v>
      </c>
      <c r="F169" s="6" t="s">
        <v>122</v>
      </c>
      <c r="G169" s="4">
        <v>6.48</v>
      </c>
      <c r="H169" s="4" t="s">
        <v>125</v>
      </c>
      <c r="I169" s="7"/>
      <c r="J169" s="7"/>
      <c r="K169" s="7"/>
      <c r="L169" s="7"/>
    </row>
    <row r="170" spans="2:12" x14ac:dyDescent="0.25">
      <c r="B170" s="1">
        <v>170</v>
      </c>
      <c r="C170" s="2" t="s">
        <v>121</v>
      </c>
      <c r="D170" s="4">
        <v>165</v>
      </c>
      <c r="E170" s="24" t="str">
        <f>VLOOKUP(D170,Standard!$B$2:$D$251,2,FALSE)</f>
        <v>NB/T 47011-2010</v>
      </c>
      <c r="F170" s="6" t="s">
        <v>123</v>
      </c>
      <c r="G170" s="4">
        <v>6.48</v>
      </c>
      <c r="H170" s="4" t="s">
        <v>125</v>
      </c>
      <c r="I170" s="7"/>
      <c r="J170" s="7"/>
      <c r="K170" s="7"/>
      <c r="L170" s="7"/>
    </row>
    <row r="171" spans="2:12" x14ac:dyDescent="0.25">
      <c r="B171" s="1">
        <v>171</v>
      </c>
      <c r="C171" s="2" t="s">
        <v>121</v>
      </c>
      <c r="D171" s="4">
        <v>165</v>
      </c>
      <c r="E171" s="24" t="str">
        <f>VLOOKUP(D171,Standard!$B$2:$D$251,2,FALSE)</f>
        <v>NB/T 47011-2010</v>
      </c>
      <c r="F171" s="6" t="s">
        <v>124</v>
      </c>
      <c r="G171" s="4">
        <v>6.84</v>
      </c>
      <c r="H171" s="4" t="s">
        <v>125</v>
      </c>
      <c r="I171" s="7"/>
      <c r="J171" s="7"/>
      <c r="K171" s="7"/>
      <c r="L171" s="7"/>
    </row>
  </sheetData>
  <sortState xmlns:xlrd2="http://schemas.microsoft.com/office/spreadsheetml/2017/richdata2" ref="B3:L171">
    <sortCondition ref="B3:B17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87"/>
  <sheetViews>
    <sheetView workbookViewId="0">
      <selection activeCell="F31" sqref="F31"/>
    </sheetView>
  </sheetViews>
  <sheetFormatPr defaultColWidth="9" defaultRowHeight="14.4" x14ac:dyDescent="0.25"/>
  <cols>
    <col min="1" max="1" width="4.77734375" customWidth="1"/>
    <col min="2" max="2" width="6.21875" style="3" customWidth="1"/>
    <col min="3" max="3" width="19" style="3" customWidth="1"/>
    <col min="4" max="4" width="11.44140625" style="3" customWidth="1"/>
    <col min="5" max="5" width="13.109375" style="3" customWidth="1"/>
    <col min="6" max="6" width="12.109375" style="3" customWidth="1"/>
    <col min="7" max="7" width="10.6640625" style="3" customWidth="1"/>
    <col min="8" max="8" width="9" style="3"/>
    <col min="9" max="10" width="8.88671875" customWidth="1"/>
    <col min="11" max="16384" width="9" style="3"/>
  </cols>
  <sheetData>
    <row r="1" spans="2:13" x14ac:dyDescent="0.25">
      <c r="B1" s="3">
        <v>85</v>
      </c>
    </row>
    <row r="2" spans="2:13" x14ac:dyDescent="0.25">
      <c r="B2" s="4" t="s">
        <v>618</v>
      </c>
      <c r="C2" s="4" t="s">
        <v>68</v>
      </c>
      <c r="D2" s="7" t="s">
        <v>666</v>
      </c>
      <c r="E2" s="4" t="s">
        <v>665</v>
      </c>
      <c r="F2" s="4" t="s">
        <v>70</v>
      </c>
      <c r="G2" s="4" t="s">
        <v>71</v>
      </c>
      <c r="H2" s="4" t="s">
        <v>109</v>
      </c>
    </row>
    <row r="3" spans="2:13" x14ac:dyDescent="0.25">
      <c r="B3" s="4">
        <v>1</v>
      </c>
      <c r="C3" s="4" t="s">
        <v>72</v>
      </c>
      <c r="D3" s="7"/>
      <c r="E3" s="4"/>
      <c r="F3" s="4" t="s">
        <v>19</v>
      </c>
      <c r="G3" s="5">
        <v>7.75</v>
      </c>
      <c r="H3" s="4" t="s">
        <v>112</v>
      </c>
    </row>
    <row r="4" spans="2:13" x14ac:dyDescent="0.25">
      <c r="B4" s="4">
        <v>2</v>
      </c>
      <c r="C4" s="4" t="s">
        <v>72</v>
      </c>
      <c r="D4" s="7"/>
      <c r="E4" s="4"/>
      <c r="F4" s="4" t="s">
        <v>20</v>
      </c>
      <c r="G4" s="5">
        <v>7.75</v>
      </c>
      <c r="H4" s="4" t="s">
        <v>112</v>
      </c>
    </row>
    <row r="5" spans="2:13" x14ac:dyDescent="0.25">
      <c r="B5" s="4">
        <v>3</v>
      </c>
      <c r="C5" s="4" t="s">
        <v>72</v>
      </c>
      <c r="D5" s="7"/>
      <c r="E5" s="4"/>
      <c r="F5" s="4" t="s">
        <v>21</v>
      </c>
      <c r="G5" s="5">
        <v>7.75</v>
      </c>
      <c r="H5" s="4" t="s">
        <v>112</v>
      </c>
    </row>
    <row r="6" spans="2:13" x14ac:dyDescent="0.25">
      <c r="B6" s="4">
        <v>4</v>
      </c>
      <c r="C6" s="4" t="s">
        <v>72</v>
      </c>
      <c r="D6" s="7"/>
      <c r="E6" s="4"/>
      <c r="F6" s="4" t="s">
        <v>22</v>
      </c>
      <c r="G6" s="5">
        <v>7.7</v>
      </c>
      <c r="H6" s="4" t="s">
        <v>112</v>
      </c>
    </row>
    <row r="7" spans="2:13" x14ac:dyDescent="0.25">
      <c r="B7" s="4">
        <v>5</v>
      </c>
      <c r="C7" s="4" t="s">
        <v>72</v>
      </c>
      <c r="D7" s="7"/>
      <c r="E7" s="4"/>
      <c r="F7" s="4" t="s">
        <v>23</v>
      </c>
      <c r="G7" s="5">
        <v>7.8</v>
      </c>
      <c r="H7" s="4" t="s">
        <v>112</v>
      </c>
    </row>
    <row r="8" spans="2:13" x14ac:dyDescent="0.25">
      <c r="B8" s="4">
        <v>6</v>
      </c>
      <c r="C8" s="4" t="s">
        <v>72</v>
      </c>
      <c r="D8" s="7"/>
      <c r="E8" s="4"/>
      <c r="F8" s="4" t="s">
        <v>24</v>
      </c>
      <c r="G8" s="5">
        <v>7.8</v>
      </c>
      <c r="H8" s="4" t="s">
        <v>112</v>
      </c>
    </row>
    <row r="9" spans="2:13" x14ac:dyDescent="0.25">
      <c r="B9" s="4">
        <v>7</v>
      </c>
      <c r="C9" s="4" t="s">
        <v>72</v>
      </c>
      <c r="D9" s="7"/>
      <c r="E9" s="4"/>
      <c r="F9" s="4" t="s">
        <v>25</v>
      </c>
      <c r="G9" s="5">
        <v>7.93</v>
      </c>
      <c r="H9" s="4" t="s">
        <v>112</v>
      </c>
      <c r="M9"/>
    </row>
    <row r="10" spans="2:13" x14ac:dyDescent="0.25">
      <c r="B10" s="4">
        <v>8</v>
      </c>
      <c r="C10" s="4" t="s">
        <v>72</v>
      </c>
      <c r="D10" s="7"/>
      <c r="E10" s="4"/>
      <c r="F10" s="4" t="s">
        <v>26</v>
      </c>
      <c r="G10" s="5">
        <v>7.9</v>
      </c>
      <c r="H10" s="4" t="s">
        <v>112</v>
      </c>
      <c r="M10"/>
    </row>
    <row r="11" spans="2:13" x14ac:dyDescent="0.25">
      <c r="B11" s="4">
        <v>9</v>
      </c>
      <c r="C11" s="4" t="s">
        <v>72</v>
      </c>
      <c r="D11" s="7"/>
      <c r="E11" s="4"/>
      <c r="F11" s="4" t="s">
        <v>27</v>
      </c>
      <c r="G11" s="5">
        <v>7.9</v>
      </c>
      <c r="H11" s="4" t="s">
        <v>112</v>
      </c>
      <c r="M11"/>
    </row>
    <row r="12" spans="2:13" x14ac:dyDescent="0.25">
      <c r="B12" s="4">
        <v>10</v>
      </c>
      <c r="C12" s="4" t="s">
        <v>72</v>
      </c>
      <c r="D12" s="7"/>
      <c r="E12" s="4"/>
      <c r="F12" s="4" t="s">
        <v>28</v>
      </c>
      <c r="G12" s="5">
        <v>7.98</v>
      </c>
      <c r="H12" s="4" t="s">
        <v>112</v>
      </c>
      <c r="M12"/>
    </row>
    <row r="13" spans="2:13" x14ac:dyDescent="0.25">
      <c r="B13" s="4">
        <v>11</v>
      </c>
      <c r="C13" s="4" t="s">
        <v>72</v>
      </c>
      <c r="D13" s="7"/>
      <c r="E13" s="4"/>
      <c r="F13" s="6" t="s">
        <v>29</v>
      </c>
      <c r="G13" s="5">
        <v>8</v>
      </c>
      <c r="H13" s="4" t="s">
        <v>112</v>
      </c>
      <c r="M13"/>
    </row>
    <row r="14" spans="2:13" x14ac:dyDescent="0.25">
      <c r="B14" s="4">
        <v>12</v>
      </c>
      <c r="C14" s="4" t="s">
        <v>72</v>
      </c>
      <c r="D14" s="7"/>
      <c r="E14" s="4"/>
      <c r="F14" s="6" t="s">
        <v>30</v>
      </c>
      <c r="G14" s="5">
        <v>8</v>
      </c>
      <c r="H14" s="4" t="s">
        <v>112</v>
      </c>
      <c r="M14"/>
    </row>
    <row r="15" spans="2:13" x14ac:dyDescent="0.25">
      <c r="B15" s="4">
        <v>13</v>
      </c>
      <c r="C15" s="4" t="s">
        <v>72</v>
      </c>
      <c r="D15" s="7"/>
      <c r="E15" s="4"/>
      <c r="F15" s="6" t="s">
        <v>31</v>
      </c>
      <c r="G15" s="5">
        <v>7.9</v>
      </c>
      <c r="H15" s="4" t="s">
        <v>112</v>
      </c>
      <c r="M15"/>
    </row>
    <row r="16" spans="2:13" x14ac:dyDescent="0.25">
      <c r="B16" s="4">
        <v>14</v>
      </c>
      <c r="C16" s="4" t="s">
        <v>72</v>
      </c>
      <c r="D16" s="7"/>
      <c r="E16" s="4"/>
      <c r="F16" s="6" t="s">
        <v>32</v>
      </c>
      <c r="G16" s="5">
        <v>8</v>
      </c>
      <c r="H16" s="4" t="s">
        <v>112</v>
      </c>
      <c r="M16"/>
    </row>
    <row r="17" spans="2:13" x14ac:dyDescent="0.25">
      <c r="B17" s="4">
        <v>15</v>
      </c>
      <c r="C17" s="4" t="s">
        <v>72</v>
      </c>
      <c r="D17" s="7"/>
      <c r="E17" s="4"/>
      <c r="F17" s="6" t="s">
        <v>33</v>
      </c>
      <c r="G17" s="5">
        <v>7.98</v>
      </c>
      <c r="H17" s="4" t="s">
        <v>112</v>
      </c>
      <c r="M17"/>
    </row>
    <row r="18" spans="2:13" x14ac:dyDescent="0.25">
      <c r="B18" s="4">
        <v>16</v>
      </c>
      <c r="C18" s="4" t="s">
        <v>72</v>
      </c>
      <c r="D18" s="7"/>
      <c r="E18" s="4"/>
      <c r="F18" s="6" t="s">
        <v>34</v>
      </c>
      <c r="G18" s="5">
        <v>8</v>
      </c>
      <c r="H18" s="4" t="s">
        <v>112</v>
      </c>
      <c r="M18"/>
    </row>
    <row r="19" spans="2:13" x14ac:dyDescent="0.25">
      <c r="B19" s="4">
        <v>17</v>
      </c>
      <c r="C19" s="4" t="s">
        <v>72</v>
      </c>
      <c r="D19" s="7"/>
      <c r="E19" s="4"/>
      <c r="F19" s="6" t="s">
        <v>35</v>
      </c>
      <c r="G19" s="5">
        <v>8</v>
      </c>
      <c r="H19" s="4" t="s">
        <v>112</v>
      </c>
      <c r="M19"/>
    </row>
    <row r="20" spans="2:13" x14ac:dyDescent="0.25">
      <c r="B20" s="4">
        <v>18</v>
      </c>
      <c r="C20" s="4" t="s">
        <v>73</v>
      </c>
      <c r="D20" s="7"/>
      <c r="E20" s="4"/>
      <c r="F20" s="4" t="s">
        <v>25</v>
      </c>
      <c r="G20" s="5">
        <v>7.93</v>
      </c>
      <c r="H20" s="4" t="s">
        <v>112</v>
      </c>
      <c r="M20"/>
    </row>
    <row r="21" spans="2:13" x14ac:dyDescent="0.25">
      <c r="B21" s="4">
        <v>19</v>
      </c>
      <c r="C21" s="4" t="s">
        <v>73</v>
      </c>
      <c r="D21" s="7"/>
      <c r="E21" s="4"/>
      <c r="F21" s="4" t="s">
        <v>26</v>
      </c>
      <c r="G21" s="5">
        <v>7.9</v>
      </c>
      <c r="H21" s="4" t="s">
        <v>112</v>
      </c>
      <c r="M21"/>
    </row>
    <row r="22" spans="2:13" x14ac:dyDescent="0.25">
      <c r="B22" s="4">
        <v>20</v>
      </c>
      <c r="C22" s="4" t="s">
        <v>73</v>
      </c>
      <c r="D22" s="7"/>
      <c r="E22" s="4"/>
      <c r="F22" s="4" t="s">
        <v>27</v>
      </c>
      <c r="G22" s="5">
        <v>7.9</v>
      </c>
      <c r="H22" s="4" t="s">
        <v>112</v>
      </c>
      <c r="M22"/>
    </row>
    <row r="23" spans="2:13" x14ac:dyDescent="0.25">
      <c r="B23" s="4">
        <v>21</v>
      </c>
      <c r="C23" s="4" t="s">
        <v>73</v>
      </c>
      <c r="D23" s="7"/>
      <c r="E23" s="4"/>
      <c r="F23" s="4" t="s">
        <v>28</v>
      </c>
      <c r="G23" s="5">
        <v>7.98</v>
      </c>
      <c r="H23" s="4" t="s">
        <v>112</v>
      </c>
      <c r="M23"/>
    </row>
    <row r="24" spans="2:13" x14ac:dyDescent="0.25">
      <c r="B24" s="4">
        <v>22</v>
      </c>
      <c r="C24" s="4" t="s">
        <v>73</v>
      </c>
      <c r="D24" s="7"/>
      <c r="E24" s="4"/>
      <c r="F24" s="4" t="s">
        <v>29</v>
      </c>
      <c r="G24" s="5">
        <v>8</v>
      </c>
      <c r="H24" s="4" t="s">
        <v>112</v>
      </c>
      <c r="M24"/>
    </row>
    <row r="25" spans="2:13" x14ac:dyDescent="0.25">
      <c r="B25" s="4">
        <v>23</v>
      </c>
      <c r="C25" s="4" t="s">
        <v>73</v>
      </c>
      <c r="D25" s="7"/>
      <c r="E25" s="4"/>
      <c r="F25" s="4" t="s">
        <v>30</v>
      </c>
      <c r="G25" s="5">
        <v>8</v>
      </c>
      <c r="H25" s="4" t="s">
        <v>112</v>
      </c>
      <c r="M25"/>
    </row>
    <row r="26" spans="2:13" x14ac:dyDescent="0.25">
      <c r="B26" s="4">
        <v>24</v>
      </c>
      <c r="C26" s="4" t="s">
        <v>73</v>
      </c>
      <c r="D26" s="7"/>
      <c r="E26" s="4"/>
      <c r="F26" s="4" t="s">
        <v>31</v>
      </c>
      <c r="G26" s="5">
        <v>7.9</v>
      </c>
      <c r="H26" s="4" t="s">
        <v>112</v>
      </c>
      <c r="M26"/>
    </row>
    <row r="27" spans="2:13" x14ac:dyDescent="0.25">
      <c r="B27" s="4">
        <v>25</v>
      </c>
      <c r="C27" s="4" t="s">
        <v>73</v>
      </c>
      <c r="D27" s="7"/>
      <c r="E27" s="4"/>
      <c r="F27" s="4" t="s">
        <v>33</v>
      </c>
      <c r="G27" s="5">
        <v>7.98</v>
      </c>
      <c r="H27" s="4" t="s">
        <v>112</v>
      </c>
      <c r="M27"/>
    </row>
    <row r="28" spans="2:13" x14ac:dyDescent="0.25">
      <c r="B28" s="4">
        <v>26</v>
      </c>
      <c r="C28" s="4" t="s">
        <v>73</v>
      </c>
      <c r="D28" s="7"/>
      <c r="E28" s="4"/>
      <c r="F28" s="4" t="s">
        <v>34</v>
      </c>
      <c r="G28" s="5">
        <v>8</v>
      </c>
      <c r="H28" s="4" t="s">
        <v>112</v>
      </c>
      <c r="M28"/>
    </row>
    <row r="29" spans="2:13" x14ac:dyDescent="0.25">
      <c r="B29" s="4">
        <v>27</v>
      </c>
      <c r="C29" s="4" t="s">
        <v>73</v>
      </c>
      <c r="D29" s="7"/>
      <c r="E29" s="4"/>
      <c r="F29" s="4" t="s">
        <v>35</v>
      </c>
      <c r="G29" s="5">
        <v>8</v>
      </c>
      <c r="H29" s="4" t="s">
        <v>112</v>
      </c>
      <c r="M29"/>
    </row>
    <row r="30" spans="2:13" x14ac:dyDescent="0.25">
      <c r="B30" s="4">
        <v>28</v>
      </c>
      <c r="C30" s="4" t="s">
        <v>73</v>
      </c>
      <c r="D30" s="7"/>
      <c r="E30" s="4"/>
      <c r="F30" s="4" t="s">
        <v>22</v>
      </c>
      <c r="G30" s="5">
        <v>7.7</v>
      </c>
      <c r="H30" s="4" t="s">
        <v>112</v>
      </c>
      <c r="M30"/>
    </row>
    <row r="31" spans="2:13" x14ac:dyDescent="0.25">
      <c r="B31" s="4">
        <v>29</v>
      </c>
      <c r="C31" s="4" t="s">
        <v>73</v>
      </c>
      <c r="D31" s="7"/>
      <c r="E31" s="4"/>
      <c r="F31" s="4" t="s">
        <v>23</v>
      </c>
      <c r="G31" s="5">
        <v>7.8</v>
      </c>
      <c r="H31" s="4" t="s">
        <v>112</v>
      </c>
      <c r="M31"/>
    </row>
    <row r="32" spans="2:13" x14ac:dyDescent="0.25">
      <c r="B32" s="4">
        <v>30</v>
      </c>
      <c r="C32" s="4" t="s">
        <v>73</v>
      </c>
      <c r="D32" s="7"/>
      <c r="E32" s="4"/>
      <c r="F32" s="4" t="s">
        <v>24</v>
      </c>
      <c r="G32" s="5">
        <v>7.8</v>
      </c>
      <c r="H32" s="4" t="s">
        <v>112</v>
      </c>
      <c r="M32"/>
    </row>
    <row r="33" spans="2:13" x14ac:dyDescent="0.25">
      <c r="B33" s="4">
        <v>31</v>
      </c>
      <c r="C33" s="4" t="s">
        <v>74</v>
      </c>
      <c r="D33" s="7"/>
      <c r="E33" s="4"/>
      <c r="F33" s="4" t="s">
        <v>75</v>
      </c>
      <c r="G33" s="4">
        <v>8.89</v>
      </c>
      <c r="H33" s="4" t="s">
        <v>113</v>
      </c>
      <c r="M33"/>
    </row>
    <row r="34" spans="2:13" x14ac:dyDescent="0.25">
      <c r="B34" s="4">
        <v>32</v>
      </c>
      <c r="C34" s="4" t="s">
        <v>74</v>
      </c>
      <c r="D34" s="7"/>
      <c r="E34" s="4"/>
      <c r="F34" s="4" t="s">
        <v>76</v>
      </c>
      <c r="G34" s="4">
        <v>8.89</v>
      </c>
      <c r="H34" s="4" t="s">
        <v>113</v>
      </c>
      <c r="M34"/>
    </row>
    <row r="35" spans="2:13" x14ac:dyDescent="0.25">
      <c r="B35" s="4">
        <v>33</v>
      </c>
      <c r="C35" s="4" t="s">
        <v>74</v>
      </c>
      <c r="D35" s="7"/>
      <c r="E35" s="4"/>
      <c r="F35" s="4" t="s">
        <v>77</v>
      </c>
      <c r="G35" s="4">
        <v>8.83</v>
      </c>
      <c r="H35" s="4" t="s">
        <v>113</v>
      </c>
      <c r="M35"/>
    </row>
    <row r="36" spans="2:13" x14ac:dyDescent="0.25">
      <c r="B36" s="4">
        <v>34</v>
      </c>
      <c r="C36" s="4" t="s">
        <v>74</v>
      </c>
      <c r="D36" s="7"/>
      <c r="E36" s="4"/>
      <c r="F36" s="4" t="s">
        <v>78</v>
      </c>
      <c r="G36" s="4">
        <v>7.94</v>
      </c>
      <c r="H36" s="4" t="s">
        <v>113</v>
      </c>
      <c r="M36"/>
    </row>
    <row r="37" spans="2:13" x14ac:dyDescent="0.25">
      <c r="B37" s="4">
        <v>35</v>
      </c>
      <c r="C37" s="4" t="s">
        <v>74</v>
      </c>
      <c r="D37" s="7"/>
      <c r="E37" s="4"/>
      <c r="F37" s="4" t="s">
        <v>79</v>
      </c>
      <c r="G37" s="4">
        <v>7.94</v>
      </c>
      <c r="H37" s="4" t="s">
        <v>113</v>
      </c>
      <c r="M37"/>
    </row>
    <row r="38" spans="2:13" x14ac:dyDescent="0.25">
      <c r="B38" s="4">
        <v>36</v>
      </c>
      <c r="C38" s="4" t="s">
        <v>74</v>
      </c>
      <c r="D38" s="7"/>
      <c r="E38" s="4"/>
      <c r="F38" s="4" t="s">
        <v>80</v>
      </c>
      <c r="G38" s="4">
        <v>8.14</v>
      </c>
      <c r="H38" s="4" t="s">
        <v>113</v>
      </c>
      <c r="M38"/>
    </row>
    <row r="39" spans="2:13" x14ac:dyDescent="0.25">
      <c r="B39" s="4">
        <v>37</v>
      </c>
      <c r="C39" s="4" t="s">
        <v>74</v>
      </c>
      <c r="D39" s="7"/>
      <c r="E39" s="4"/>
      <c r="F39" s="4" t="s">
        <v>81</v>
      </c>
      <c r="G39" s="4">
        <v>8.42</v>
      </c>
      <c r="H39" s="4" t="s">
        <v>113</v>
      </c>
      <c r="M39"/>
    </row>
    <row r="40" spans="2:13" x14ac:dyDescent="0.25">
      <c r="B40" s="4">
        <v>38</v>
      </c>
      <c r="C40" s="4" t="s">
        <v>74</v>
      </c>
      <c r="D40" s="7"/>
      <c r="E40" s="4"/>
      <c r="F40" s="4" t="s">
        <v>82</v>
      </c>
      <c r="G40" s="4">
        <v>9.2200000000000006</v>
      </c>
      <c r="H40" s="4" t="s">
        <v>113</v>
      </c>
      <c r="M40"/>
    </row>
    <row r="41" spans="2:13" x14ac:dyDescent="0.25">
      <c r="B41" s="4">
        <v>39</v>
      </c>
      <c r="C41" s="4" t="s">
        <v>74</v>
      </c>
      <c r="D41" s="7"/>
      <c r="E41" s="4"/>
      <c r="F41" s="4" t="s">
        <v>83</v>
      </c>
      <c r="G41" s="4">
        <v>8.8699999999999992</v>
      </c>
      <c r="H41" s="4" t="s">
        <v>113</v>
      </c>
      <c r="M41"/>
    </row>
    <row r="42" spans="2:13" x14ac:dyDescent="0.25">
      <c r="B42" s="4">
        <v>40</v>
      </c>
      <c r="C42" s="4" t="s">
        <v>74</v>
      </c>
      <c r="D42" s="7"/>
      <c r="E42" s="4"/>
      <c r="F42" s="4" t="s">
        <v>84</v>
      </c>
      <c r="G42" s="4">
        <v>8.64</v>
      </c>
      <c r="H42" s="4" t="s">
        <v>113</v>
      </c>
      <c r="M42"/>
    </row>
    <row r="43" spans="2:13" x14ac:dyDescent="0.25">
      <c r="B43" s="4">
        <v>41</v>
      </c>
      <c r="C43" s="4" t="s">
        <v>74</v>
      </c>
      <c r="D43" s="7"/>
      <c r="E43" s="4"/>
      <c r="F43" s="4" t="s">
        <v>85</v>
      </c>
      <c r="G43" s="4">
        <v>8.8000000000000007</v>
      </c>
      <c r="H43" s="4" t="s">
        <v>113</v>
      </c>
      <c r="M43"/>
    </row>
    <row r="44" spans="2:13" x14ac:dyDescent="0.25">
      <c r="B44" s="4">
        <v>42</v>
      </c>
      <c r="C44" s="4" t="s">
        <v>86</v>
      </c>
      <c r="D44" s="7"/>
      <c r="E44" s="4"/>
      <c r="F44" s="4" t="s">
        <v>87</v>
      </c>
      <c r="G44" s="4">
        <v>4.5</v>
      </c>
      <c r="H44" s="4" t="s">
        <v>115</v>
      </c>
      <c r="M44"/>
    </row>
    <row r="45" spans="2:13" x14ac:dyDescent="0.25">
      <c r="B45" s="4">
        <v>43</v>
      </c>
      <c r="C45" s="4" t="s">
        <v>86</v>
      </c>
      <c r="D45" s="7"/>
      <c r="E45" s="4"/>
      <c r="F45" s="4" t="s">
        <v>88</v>
      </c>
      <c r="G45" s="4">
        <v>4.5</v>
      </c>
      <c r="H45" s="4" t="s">
        <v>115</v>
      </c>
      <c r="M45"/>
    </row>
    <row r="46" spans="2:13" x14ac:dyDescent="0.25">
      <c r="B46" s="4">
        <v>44</v>
      </c>
      <c r="C46" s="4" t="s">
        <v>86</v>
      </c>
      <c r="D46" s="7"/>
      <c r="E46" s="4"/>
      <c r="F46" s="4" t="s">
        <v>89</v>
      </c>
      <c r="G46" s="4">
        <v>4.5</v>
      </c>
      <c r="H46" s="4" t="s">
        <v>115</v>
      </c>
      <c r="M46"/>
    </row>
    <row r="47" spans="2:13" x14ac:dyDescent="0.25">
      <c r="B47" s="4">
        <v>45</v>
      </c>
      <c r="C47" s="4" t="s">
        <v>86</v>
      </c>
      <c r="D47" s="7"/>
      <c r="E47" s="4"/>
      <c r="F47" s="4" t="s">
        <v>90</v>
      </c>
      <c r="G47" s="4">
        <v>4.55</v>
      </c>
      <c r="H47" s="4" t="s">
        <v>115</v>
      </c>
      <c r="M47"/>
    </row>
    <row r="48" spans="2:13" x14ac:dyDescent="0.25">
      <c r="B48" s="4">
        <v>46</v>
      </c>
      <c r="C48" s="4" t="s">
        <v>86</v>
      </c>
      <c r="D48" s="7"/>
      <c r="E48" s="4"/>
      <c r="F48" s="4" t="s">
        <v>91</v>
      </c>
      <c r="G48" s="4">
        <v>4.5599999999999996</v>
      </c>
      <c r="H48" s="4" t="s">
        <v>115</v>
      </c>
      <c r="M48"/>
    </row>
    <row r="49" spans="2:13" x14ac:dyDescent="0.25">
      <c r="B49" s="4">
        <v>47</v>
      </c>
      <c r="C49" s="4" t="s">
        <v>92</v>
      </c>
      <c r="D49" s="7"/>
      <c r="E49" s="4"/>
      <c r="F49" s="4" t="s">
        <v>93</v>
      </c>
      <c r="G49" s="4">
        <v>8.93</v>
      </c>
      <c r="H49" s="4" t="s">
        <v>114</v>
      </c>
      <c r="M49"/>
    </row>
    <row r="50" spans="2:13" x14ac:dyDescent="0.25">
      <c r="B50" s="4">
        <v>48</v>
      </c>
      <c r="C50" s="4" t="s">
        <v>92</v>
      </c>
      <c r="D50" s="7"/>
      <c r="E50" s="4"/>
      <c r="F50" s="4" t="s">
        <v>94</v>
      </c>
      <c r="G50" s="4">
        <v>8.93</v>
      </c>
      <c r="H50" s="4" t="s">
        <v>114</v>
      </c>
      <c r="M50"/>
    </row>
    <row r="51" spans="2:13" x14ac:dyDescent="0.25">
      <c r="B51" s="4">
        <v>49</v>
      </c>
      <c r="C51" s="4" t="s">
        <v>92</v>
      </c>
      <c r="D51" s="7"/>
      <c r="E51" s="4"/>
      <c r="F51" s="4" t="s">
        <v>95</v>
      </c>
      <c r="G51" s="4">
        <v>8.5299999999999994</v>
      </c>
      <c r="H51" s="4" t="s">
        <v>114</v>
      </c>
      <c r="M51"/>
    </row>
    <row r="52" spans="2:13" x14ac:dyDescent="0.25">
      <c r="B52" s="4">
        <v>50</v>
      </c>
      <c r="C52" s="4" t="s">
        <v>92</v>
      </c>
      <c r="D52" s="7"/>
      <c r="E52" s="4"/>
      <c r="F52" s="4" t="s">
        <v>96</v>
      </c>
      <c r="G52" s="4">
        <v>8.43</v>
      </c>
      <c r="H52" s="4" t="s">
        <v>114</v>
      </c>
      <c r="M52"/>
    </row>
    <row r="53" spans="2:13" x14ac:dyDescent="0.25">
      <c r="B53" s="4">
        <v>51</v>
      </c>
      <c r="C53" s="4" t="s">
        <v>92</v>
      </c>
      <c r="D53" s="7"/>
      <c r="E53" s="4"/>
      <c r="F53" s="4" t="s">
        <v>97</v>
      </c>
      <c r="G53" s="4">
        <v>8.4499999999999993</v>
      </c>
      <c r="H53" s="4" t="s">
        <v>114</v>
      </c>
      <c r="M53"/>
    </row>
    <row r="54" spans="2:13" x14ac:dyDescent="0.25">
      <c r="B54" s="4">
        <v>52</v>
      </c>
      <c r="C54" s="4" t="s">
        <v>92</v>
      </c>
      <c r="D54" s="7"/>
      <c r="E54" s="4"/>
      <c r="F54" s="4" t="s">
        <v>98</v>
      </c>
      <c r="G54" s="4">
        <v>8.8000000000000007</v>
      </c>
      <c r="H54" s="4" t="s">
        <v>114</v>
      </c>
      <c r="M54"/>
    </row>
    <row r="55" spans="2:13" x14ac:dyDescent="0.25">
      <c r="B55" s="4">
        <v>53</v>
      </c>
      <c r="C55" s="4" t="s">
        <v>92</v>
      </c>
      <c r="D55" s="7"/>
      <c r="E55" s="4"/>
      <c r="F55" s="4" t="s">
        <v>99</v>
      </c>
      <c r="G55" s="4">
        <v>7.6</v>
      </c>
      <c r="H55" s="4" t="s">
        <v>114</v>
      </c>
      <c r="M55"/>
    </row>
    <row r="56" spans="2:13" x14ac:dyDescent="0.25">
      <c r="B56" s="4">
        <v>54</v>
      </c>
      <c r="C56" s="4" t="s">
        <v>92</v>
      </c>
      <c r="D56" s="7"/>
      <c r="E56" s="4"/>
      <c r="F56" s="4" t="s">
        <v>100</v>
      </c>
      <c r="G56" s="4">
        <v>8.9</v>
      </c>
      <c r="H56" s="4" t="s">
        <v>114</v>
      </c>
      <c r="M56"/>
    </row>
    <row r="57" spans="2:13" x14ac:dyDescent="0.25">
      <c r="B57" s="4">
        <v>55</v>
      </c>
      <c r="C57" s="4" t="s">
        <v>92</v>
      </c>
      <c r="D57" s="7"/>
      <c r="E57" s="4"/>
      <c r="F57" s="4" t="s">
        <v>101</v>
      </c>
      <c r="G57" s="4">
        <v>8.9</v>
      </c>
      <c r="H57" s="4" t="s">
        <v>114</v>
      </c>
      <c r="M57"/>
    </row>
    <row r="58" spans="2:13" x14ac:dyDescent="0.25">
      <c r="B58" s="4">
        <v>56</v>
      </c>
      <c r="C58" s="4" t="s">
        <v>92</v>
      </c>
      <c r="D58" s="7"/>
      <c r="E58" s="4"/>
      <c r="F58" s="4" t="s">
        <v>102</v>
      </c>
      <c r="G58" s="4">
        <v>8.9</v>
      </c>
      <c r="H58" s="4" t="s">
        <v>114</v>
      </c>
      <c r="M58"/>
    </row>
    <row r="59" spans="2:13" x14ac:dyDescent="0.25">
      <c r="B59" s="4">
        <v>57</v>
      </c>
      <c r="C59" s="2" t="s">
        <v>126</v>
      </c>
      <c r="D59" s="7"/>
      <c r="E59" s="1"/>
      <c r="F59" s="6" t="s">
        <v>122</v>
      </c>
      <c r="G59" s="4">
        <v>6.48</v>
      </c>
      <c r="H59" s="4" t="s">
        <v>125</v>
      </c>
      <c r="M59"/>
    </row>
    <row r="60" spans="2:13" x14ac:dyDescent="0.25">
      <c r="B60" s="4">
        <v>58</v>
      </c>
      <c r="C60" s="2" t="s">
        <v>126</v>
      </c>
      <c r="D60" s="7"/>
      <c r="E60" s="1"/>
      <c r="F60" s="6" t="s">
        <v>123</v>
      </c>
      <c r="G60" s="4">
        <v>6.48</v>
      </c>
      <c r="H60" s="4" t="s">
        <v>125</v>
      </c>
      <c r="M60"/>
    </row>
    <row r="61" spans="2:13" x14ac:dyDescent="0.25">
      <c r="B61" s="4">
        <v>59</v>
      </c>
      <c r="C61" s="2" t="s">
        <v>126</v>
      </c>
      <c r="D61" s="7"/>
      <c r="E61" s="1"/>
      <c r="F61" s="6" t="s">
        <v>124</v>
      </c>
      <c r="G61" s="4">
        <v>6.84</v>
      </c>
      <c r="H61" s="4" t="s">
        <v>125</v>
      </c>
      <c r="M61"/>
    </row>
    <row r="62" spans="2:13" x14ac:dyDescent="0.25">
      <c r="B62" s="4">
        <v>60</v>
      </c>
      <c r="C62" s="6" t="s">
        <v>103</v>
      </c>
      <c r="D62" s="7"/>
      <c r="E62" s="7"/>
      <c r="F62" s="4" t="s">
        <v>25</v>
      </c>
      <c r="G62" s="5">
        <v>7.93</v>
      </c>
      <c r="H62" s="4" t="s">
        <v>111</v>
      </c>
      <c r="M62"/>
    </row>
    <row r="63" spans="2:13" x14ac:dyDescent="0.25">
      <c r="B63" s="4">
        <v>61</v>
      </c>
      <c r="C63" s="6" t="s">
        <v>103</v>
      </c>
      <c r="D63" s="7"/>
      <c r="E63" s="7"/>
      <c r="F63" s="4" t="s">
        <v>26</v>
      </c>
      <c r="G63" s="5">
        <v>7.9</v>
      </c>
      <c r="H63" s="4" t="s">
        <v>111</v>
      </c>
      <c r="M63"/>
    </row>
    <row r="64" spans="2:13" x14ac:dyDescent="0.25">
      <c r="B64" s="4">
        <v>62</v>
      </c>
      <c r="C64" s="6" t="s">
        <v>103</v>
      </c>
      <c r="D64" s="7"/>
      <c r="E64" s="7"/>
      <c r="F64" s="4" t="s">
        <v>27</v>
      </c>
      <c r="G64" s="5">
        <v>7.9</v>
      </c>
      <c r="H64" s="4" t="s">
        <v>111</v>
      </c>
      <c r="M64"/>
    </row>
    <row r="65" spans="2:13" x14ac:dyDescent="0.25">
      <c r="B65" s="4">
        <v>63</v>
      </c>
      <c r="C65" s="6" t="s">
        <v>103</v>
      </c>
      <c r="D65" s="7"/>
      <c r="E65" s="7"/>
      <c r="F65" s="4" t="s">
        <v>29</v>
      </c>
      <c r="G65" s="5">
        <v>8</v>
      </c>
      <c r="H65" s="4" t="s">
        <v>111</v>
      </c>
      <c r="M65"/>
    </row>
    <row r="66" spans="2:13" x14ac:dyDescent="0.25">
      <c r="B66" s="4">
        <v>64</v>
      </c>
      <c r="C66" s="6" t="s">
        <v>103</v>
      </c>
      <c r="D66" s="7"/>
      <c r="E66" s="7"/>
      <c r="F66" s="4" t="s">
        <v>30</v>
      </c>
      <c r="G66" s="5">
        <v>8</v>
      </c>
      <c r="H66" s="4" t="s">
        <v>111</v>
      </c>
      <c r="M66"/>
    </row>
    <row r="67" spans="2:13" x14ac:dyDescent="0.25">
      <c r="B67" s="4">
        <v>65</v>
      </c>
      <c r="C67" s="6" t="s">
        <v>103</v>
      </c>
      <c r="D67" s="7"/>
      <c r="E67" s="7"/>
      <c r="F67" s="4" t="s">
        <v>31</v>
      </c>
      <c r="G67" s="5">
        <v>7.9</v>
      </c>
      <c r="H67" s="4" t="s">
        <v>111</v>
      </c>
      <c r="M67"/>
    </row>
    <row r="68" spans="2:13" x14ac:dyDescent="0.25">
      <c r="B68" s="4">
        <v>66</v>
      </c>
      <c r="C68" s="6" t="s">
        <v>103</v>
      </c>
      <c r="D68" s="7"/>
      <c r="E68" s="7"/>
      <c r="F68" s="4" t="s">
        <v>34</v>
      </c>
      <c r="G68" s="5">
        <v>7.98</v>
      </c>
      <c r="H68" s="4" t="s">
        <v>111</v>
      </c>
      <c r="M68"/>
    </row>
    <row r="69" spans="2:13" x14ac:dyDescent="0.25">
      <c r="B69" s="4">
        <v>67</v>
      </c>
      <c r="C69" s="6" t="s">
        <v>103</v>
      </c>
      <c r="D69" s="7"/>
      <c r="E69" s="7"/>
      <c r="F69" s="4" t="s">
        <v>35</v>
      </c>
      <c r="G69" s="5">
        <v>8</v>
      </c>
      <c r="H69" s="4" t="s">
        <v>111</v>
      </c>
      <c r="M69"/>
    </row>
    <row r="70" spans="2:13" x14ac:dyDescent="0.25">
      <c r="B70" s="4">
        <v>68</v>
      </c>
      <c r="C70" s="6" t="s">
        <v>103</v>
      </c>
      <c r="D70" s="7"/>
      <c r="E70" s="7"/>
      <c r="F70" s="4" t="s">
        <v>87</v>
      </c>
      <c r="G70" s="4">
        <v>4.5</v>
      </c>
      <c r="H70" s="4" t="s">
        <v>115</v>
      </c>
      <c r="M70"/>
    </row>
    <row r="71" spans="2:13" x14ac:dyDescent="0.25">
      <c r="B71" s="4">
        <v>69</v>
      </c>
      <c r="C71" s="6" t="s">
        <v>103</v>
      </c>
      <c r="D71" s="7"/>
      <c r="E71" s="7"/>
      <c r="F71" s="4" t="s">
        <v>88</v>
      </c>
      <c r="G71" s="4">
        <v>4.5</v>
      </c>
      <c r="H71" s="4" t="s">
        <v>115</v>
      </c>
      <c r="M71"/>
    </row>
    <row r="72" spans="2:13" x14ac:dyDescent="0.25">
      <c r="B72" s="4">
        <v>70</v>
      </c>
      <c r="C72" s="6" t="s">
        <v>103</v>
      </c>
      <c r="D72" s="7"/>
      <c r="E72" s="7"/>
      <c r="F72" s="4" t="s">
        <v>89</v>
      </c>
      <c r="G72" s="4">
        <v>4.5</v>
      </c>
      <c r="H72" s="4" t="s">
        <v>115</v>
      </c>
      <c r="M72"/>
    </row>
    <row r="73" spans="2:13" x14ac:dyDescent="0.25">
      <c r="B73" s="4">
        <v>71</v>
      </c>
      <c r="C73" s="6" t="s">
        <v>103</v>
      </c>
      <c r="D73" s="7"/>
      <c r="E73" s="7"/>
      <c r="F73" s="4" t="s">
        <v>90</v>
      </c>
      <c r="G73" s="4">
        <v>4.55</v>
      </c>
      <c r="H73" s="4" t="s">
        <v>115</v>
      </c>
      <c r="M73"/>
    </row>
    <row r="74" spans="2:13" x14ac:dyDescent="0.25">
      <c r="B74" s="4">
        <v>72</v>
      </c>
      <c r="C74" s="6" t="s">
        <v>103</v>
      </c>
      <c r="D74" s="7"/>
      <c r="E74" s="7"/>
      <c r="F74" s="4" t="s">
        <v>91</v>
      </c>
      <c r="G74" s="4">
        <v>4.5599999999999996</v>
      </c>
      <c r="H74" s="4" t="s">
        <v>115</v>
      </c>
      <c r="M74"/>
    </row>
    <row r="75" spans="2:13" x14ac:dyDescent="0.25">
      <c r="B75" s="4">
        <v>73</v>
      </c>
      <c r="C75" s="6" t="s">
        <v>104</v>
      </c>
      <c r="D75" s="7"/>
      <c r="E75" s="7"/>
      <c r="F75" s="4" t="s">
        <v>25</v>
      </c>
      <c r="G75" s="5">
        <v>7.93</v>
      </c>
      <c r="H75" s="4" t="s">
        <v>111</v>
      </c>
      <c r="M75"/>
    </row>
    <row r="76" spans="2:13" x14ac:dyDescent="0.25">
      <c r="B76" s="4">
        <v>74</v>
      </c>
      <c r="C76" s="6" t="s">
        <v>104</v>
      </c>
      <c r="D76" s="7"/>
      <c r="E76" s="7"/>
      <c r="F76" s="4" t="s">
        <v>26</v>
      </c>
      <c r="G76" s="5">
        <v>7.9</v>
      </c>
      <c r="H76" s="4" t="s">
        <v>111</v>
      </c>
      <c r="M76"/>
    </row>
    <row r="77" spans="2:13" x14ac:dyDescent="0.25">
      <c r="B77" s="4">
        <v>75</v>
      </c>
      <c r="C77" s="6" t="s">
        <v>104</v>
      </c>
      <c r="D77" s="7"/>
      <c r="E77" s="7"/>
      <c r="F77" s="4" t="s">
        <v>27</v>
      </c>
      <c r="G77" s="5">
        <v>7.9</v>
      </c>
      <c r="H77" s="4" t="s">
        <v>111</v>
      </c>
      <c r="M77"/>
    </row>
    <row r="78" spans="2:13" x14ac:dyDescent="0.25">
      <c r="B78" s="4">
        <v>76</v>
      </c>
      <c r="C78" s="6" t="s">
        <v>104</v>
      </c>
      <c r="D78" s="7"/>
      <c r="E78" s="7"/>
      <c r="F78" s="4" t="s">
        <v>29</v>
      </c>
      <c r="G78" s="5">
        <v>8</v>
      </c>
      <c r="H78" s="4" t="s">
        <v>111</v>
      </c>
      <c r="M78"/>
    </row>
    <row r="79" spans="2:13" x14ac:dyDescent="0.25">
      <c r="B79" s="4">
        <v>77</v>
      </c>
      <c r="C79" s="6" t="s">
        <v>104</v>
      </c>
      <c r="D79" s="7"/>
      <c r="E79" s="7"/>
      <c r="F79" s="4" t="s">
        <v>30</v>
      </c>
      <c r="G79" s="5">
        <v>8</v>
      </c>
      <c r="H79" s="4" t="s">
        <v>111</v>
      </c>
      <c r="M79"/>
    </row>
    <row r="80" spans="2:13" x14ac:dyDescent="0.25">
      <c r="B80" s="4">
        <v>78</v>
      </c>
      <c r="C80" s="6" t="s">
        <v>104</v>
      </c>
      <c r="D80" s="7"/>
      <c r="E80" s="7"/>
      <c r="F80" s="4" t="s">
        <v>31</v>
      </c>
      <c r="G80" s="5">
        <v>7.9</v>
      </c>
      <c r="H80" s="4" t="s">
        <v>111</v>
      </c>
      <c r="M80"/>
    </row>
    <row r="81" spans="2:13" x14ac:dyDescent="0.25">
      <c r="B81" s="4">
        <v>79</v>
      </c>
      <c r="C81" s="6" t="s">
        <v>104</v>
      </c>
      <c r="D81" s="7"/>
      <c r="E81" s="7"/>
      <c r="F81" s="4" t="s">
        <v>34</v>
      </c>
      <c r="G81" s="5">
        <v>7.98</v>
      </c>
      <c r="H81" s="4" t="s">
        <v>111</v>
      </c>
      <c r="M81"/>
    </row>
    <row r="82" spans="2:13" x14ac:dyDescent="0.25">
      <c r="B82" s="4">
        <v>80</v>
      </c>
      <c r="C82" s="6" t="s">
        <v>104</v>
      </c>
      <c r="D82" s="7"/>
      <c r="E82" s="7"/>
      <c r="F82" s="4" t="s">
        <v>35</v>
      </c>
      <c r="G82" s="5">
        <v>8</v>
      </c>
      <c r="H82" s="4" t="s">
        <v>111</v>
      </c>
      <c r="M82"/>
    </row>
    <row r="83" spans="2:13" x14ac:dyDescent="0.25">
      <c r="B83" s="4">
        <v>81</v>
      </c>
      <c r="C83" s="6" t="s">
        <v>104</v>
      </c>
      <c r="D83" s="7"/>
      <c r="E83" s="7"/>
      <c r="F83" s="4" t="s">
        <v>87</v>
      </c>
      <c r="G83" s="4">
        <v>4.5</v>
      </c>
      <c r="H83" s="4" t="s">
        <v>115</v>
      </c>
      <c r="M83"/>
    </row>
    <row r="84" spans="2:13" x14ac:dyDescent="0.25">
      <c r="B84" s="4">
        <v>82</v>
      </c>
      <c r="C84" s="6" t="s">
        <v>104</v>
      </c>
      <c r="D84" s="7"/>
      <c r="E84" s="7"/>
      <c r="F84" s="4" t="s">
        <v>88</v>
      </c>
      <c r="G84" s="4">
        <v>4.5</v>
      </c>
      <c r="H84" s="4" t="s">
        <v>115</v>
      </c>
      <c r="M84"/>
    </row>
    <row r="85" spans="2:13" x14ac:dyDescent="0.25">
      <c r="B85" s="4">
        <v>83</v>
      </c>
      <c r="C85" s="6" t="s">
        <v>104</v>
      </c>
      <c r="D85" s="7"/>
      <c r="E85" s="7"/>
      <c r="F85" s="4" t="s">
        <v>89</v>
      </c>
      <c r="G85" s="4">
        <v>4.5</v>
      </c>
      <c r="H85" s="4" t="s">
        <v>115</v>
      </c>
      <c r="M85"/>
    </row>
    <row r="86" spans="2:13" x14ac:dyDescent="0.25">
      <c r="B86" s="4">
        <v>84</v>
      </c>
      <c r="C86" s="6" t="s">
        <v>104</v>
      </c>
      <c r="D86" s="7"/>
      <c r="E86" s="7"/>
      <c r="F86" s="4" t="s">
        <v>90</v>
      </c>
      <c r="G86" s="4">
        <v>4.55</v>
      </c>
      <c r="H86" s="4" t="s">
        <v>115</v>
      </c>
      <c r="M86"/>
    </row>
    <row r="87" spans="2:13" x14ac:dyDescent="0.25">
      <c r="B87" s="4">
        <v>85</v>
      </c>
      <c r="C87" s="6" t="s">
        <v>104</v>
      </c>
      <c r="D87" s="7"/>
      <c r="E87" s="7"/>
      <c r="F87" s="4" t="s">
        <v>91</v>
      </c>
      <c r="G87" s="4">
        <v>4.5599999999999996</v>
      </c>
      <c r="H87" s="4" t="s">
        <v>115</v>
      </c>
      <c r="M8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3"/>
  <sheetViews>
    <sheetView tabSelected="1" workbookViewId="0">
      <selection activeCell="D18" sqref="D18"/>
    </sheetView>
  </sheetViews>
  <sheetFormatPr defaultRowHeight="14.4" x14ac:dyDescent="0.25"/>
  <cols>
    <col min="1" max="1" width="3.33203125" customWidth="1"/>
    <col min="2" max="2" width="6.33203125" customWidth="1"/>
    <col min="3" max="3" width="19.109375" customWidth="1"/>
    <col min="4" max="4" width="74.6640625" customWidth="1"/>
  </cols>
  <sheetData>
    <row r="1" spans="1:6" x14ac:dyDescent="0.25">
      <c r="A1" s="8"/>
      <c r="B1" s="8">
        <v>251</v>
      </c>
      <c r="C1" s="8"/>
      <c r="D1" s="8" t="s">
        <v>691</v>
      </c>
      <c r="F1" t="s">
        <v>601</v>
      </c>
    </row>
    <row r="2" spans="1:6" x14ac:dyDescent="0.25">
      <c r="A2" s="8"/>
      <c r="B2" s="9">
        <v>1</v>
      </c>
      <c r="C2" s="10" t="s">
        <v>568</v>
      </c>
      <c r="D2" s="10" t="s">
        <v>268</v>
      </c>
      <c r="F2" s="9">
        <v>231</v>
      </c>
    </row>
    <row r="3" spans="1:6" x14ac:dyDescent="0.25">
      <c r="A3" s="8"/>
      <c r="B3" s="9">
        <v>2</v>
      </c>
      <c r="C3" s="10" t="s">
        <v>569</v>
      </c>
      <c r="D3" s="10" t="s">
        <v>269</v>
      </c>
      <c r="F3" s="9">
        <v>21</v>
      </c>
    </row>
    <row r="4" spans="1:6" x14ac:dyDescent="0.25">
      <c r="A4" s="8"/>
      <c r="B4" s="9">
        <v>3</v>
      </c>
      <c r="C4" s="10" t="s">
        <v>570</v>
      </c>
      <c r="D4" s="10" t="s">
        <v>270</v>
      </c>
      <c r="F4" s="9">
        <v>27</v>
      </c>
    </row>
    <row r="5" spans="1:6" x14ac:dyDescent="0.25">
      <c r="A5" s="8"/>
      <c r="B5" s="9">
        <v>4</v>
      </c>
      <c r="C5" s="10" t="s">
        <v>181</v>
      </c>
      <c r="D5" s="10" t="s">
        <v>182</v>
      </c>
      <c r="F5" s="9">
        <v>209</v>
      </c>
    </row>
    <row r="6" spans="1:6" x14ac:dyDescent="0.25">
      <c r="A6" s="8"/>
      <c r="B6" s="9">
        <v>5</v>
      </c>
      <c r="C6" s="10" t="s">
        <v>183</v>
      </c>
      <c r="D6" s="10" t="s">
        <v>184</v>
      </c>
      <c r="F6" s="9">
        <v>210</v>
      </c>
    </row>
    <row r="7" spans="1:6" x14ac:dyDescent="0.25">
      <c r="A7" s="8"/>
      <c r="B7" s="9">
        <v>6</v>
      </c>
      <c r="C7" s="10" t="s">
        <v>185</v>
      </c>
      <c r="D7" s="10" t="s">
        <v>186</v>
      </c>
      <c r="F7" s="9">
        <v>14</v>
      </c>
    </row>
    <row r="8" spans="1:6" x14ac:dyDescent="0.25">
      <c r="A8" s="8"/>
      <c r="B8" s="9">
        <v>7</v>
      </c>
      <c r="C8" s="10" t="s">
        <v>187</v>
      </c>
      <c r="D8" s="10" t="s">
        <v>188</v>
      </c>
      <c r="F8" s="9">
        <v>148</v>
      </c>
    </row>
    <row r="9" spans="1:6" x14ac:dyDescent="0.25">
      <c r="A9" s="8"/>
      <c r="B9" s="9">
        <v>8</v>
      </c>
      <c r="C9" s="10" t="s">
        <v>189</v>
      </c>
      <c r="D9" s="10" t="s">
        <v>190</v>
      </c>
      <c r="F9" s="9">
        <v>51</v>
      </c>
    </row>
    <row r="10" spans="1:6" x14ac:dyDescent="0.25">
      <c r="A10" s="8"/>
      <c r="B10" s="9">
        <v>9</v>
      </c>
      <c r="C10" s="10" t="s">
        <v>191</v>
      </c>
      <c r="D10" s="10" t="s">
        <v>694</v>
      </c>
      <c r="F10" s="9">
        <v>52</v>
      </c>
    </row>
    <row r="11" spans="1:6" x14ac:dyDescent="0.25">
      <c r="A11" s="8"/>
      <c r="B11" s="9">
        <v>10</v>
      </c>
      <c r="C11" s="10" t="s">
        <v>192</v>
      </c>
      <c r="D11" s="10" t="s">
        <v>193</v>
      </c>
      <c r="F11" s="9">
        <v>160</v>
      </c>
    </row>
    <row r="12" spans="1:6" x14ac:dyDescent="0.25">
      <c r="A12" s="8"/>
      <c r="B12" s="9">
        <v>11</v>
      </c>
      <c r="C12" s="10" t="s">
        <v>194</v>
      </c>
      <c r="D12" s="10" t="s">
        <v>195</v>
      </c>
      <c r="F12" s="9">
        <v>161</v>
      </c>
    </row>
    <row r="13" spans="1:6" x14ac:dyDescent="0.25">
      <c r="A13" s="8"/>
      <c r="B13" s="9">
        <v>12</v>
      </c>
      <c r="C13" s="10" t="s">
        <v>159</v>
      </c>
      <c r="D13" s="10" t="s">
        <v>160</v>
      </c>
      <c r="F13" s="9">
        <v>150</v>
      </c>
    </row>
    <row r="14" spans="1:6" x14ac:dyDescent="0.25">
      <c r="A14" s="8"/>
      <c r="B14" s="9">
        <v>13</v>
      </c>
      <c r="C14" s="10" t="s">
        <v>161</v>
      </c>
      <c r="D14" s="10" t="s">
        <v>162</v>
      </c>
      <c r="F14" s="9">
        <v>152</v>
      </c>
    </row>
    <row r="15" spans="1:6" x14ac:dyDescent="0.25">
      <c r="A15" s="8"/>
      <c r="B15" s="9">
        <v>14</v>
      </c>
      <c r="C15" s="10" t="s">
        <v>196</v>
      </c>
      <c r="D15" s="10" t="s">
        <v>197</v>
      </c>
      <c r="F15" s="9">
        <v>153</v>
      </c>
    </row>
    <row r="16" spans="1:6" x14ac:dyDescent="0.25">
      <c r="A16" s="8"/>
      <c r="B16" s="9">
        <v>15</v>
      </c>
      <c r="C16" s="10" t="s">
        <v>198</v>
      </c>
      <c r="D16" s="10" t="s">
        <v>199</v>
      </c>
      <c r="F16" s="9">
        <v>154</v>
      </c>
    </row>
    <row r="17" spans="1:6" x14ac:dyDescent="0.25">
      <c r="A17" s="8"/>
      <c r="B17" s="9">
        <v>16</v>
      </c>
      <c r="C17" s="10" t="s">
        <v>131</v>
      </c>
      <c r="D17" s="10" t="s">
        <v>132</v>
      </c>
      <c r="F17" s="9">
        <v>165</v>
      </c>
    </row>
    <row r="18" spans="1:6" x14ac:dyDescent="0.25">
      <c r="A18" s="8"/>
      <c r="B18" s="9">
        <v>17</v>
      </c>
      <c r="C18" s="10" t="s">
        <v>720</v>
      </c>
      <c r="D18" s="10" t="s">
        <v>134</v>
      </c>
      <c r="F18" s="9">
        <v>181</v>
      </c>
    </row>
    <row r="19" spans="1:6" x14ac:dyDescent="0.25">
      <c r="A19" s="8"/>
      <c r="B19" s="9">
        <v>18</v>
      </c>
      <c r="C19" s="10" t="s">
        <v>200</v>
      </c>
      <c r="D19" s="10" t="s">
        <v>201</v>
      </c>
      <c r="F19" s="9">
        <v>85</v>
      </c>
    </row>
    <row r="20" spans="1:6" x14ac:dyDescent="0.25">
      <c r="A20" s="8"/>
      <c r="B20" s="9">
        <v>19</v>
      </c>
      <c r="C20" s="10" t="s">
        <v>135</v>
      </c>
      <c r="D20" s="10" t="s">
        <v>136</v>
      </c>
      <c r="F20" s="9">
        <v>86</v>
      </c>
    </row>
    <row r="21" spans="1:6" x14ac:dyDescent="0.25">
      <c r="A21" s="8"/>
      <c r="B21" s="9">
        <v>20</v>
      </c>
      <c r="C21" s="10" t="s">
        <v>137</v>
      </c>
      <c r="D21" s="10" t="s">
        <v>138</v>
      </c>
      <c r="F21" s="9">
        <v>22</v>
      </c>
    </row>
    <row r="22" spans="1:6" x14ac:dyDescent="0.25">
      <c r="A22" s="8"/>
      <c r="B22" s="9">
        <v>21</v>
      </c>
      <c r="C22" s="27" t="s">
        <v>713</v>
      </c>
      <c r="D22" s="27" t="s">
        <v>566</v>
      </c>
      <c r="F22" s="9">
        <v>23</v>
      </c>
    </row>
    <row r="23" spans="1:6" x14ac:dyDescent="0.25">
      <c r="A23" s="8"/>
      <c r="B23" s="9">
        <v>22</v>
      </c>
      <c r="C23" s="27" t="s">
        <v>714</v>
      </c>
      <c r="D23" s="27" t="s">
        <v>203</v>
      </c>
      <c r="F23" s="9">
        <v>25</v>
      </c>
    </row>
    <row r="24" spans="1:6" x14ac:dyDescent="0.25">
      <c r="A24" s="8"/>
      <c r="B24" s="9">
        <v>23</v>
      </c>
      <c r="C24" s="27" t="s">
        <v>715</v>
      </c>
      <c r="D24" s="27" t="s">
        <v>205</v>
      </c>
      <c r="F24" s="9">
        <v>26</v>
      </c>
    </row>
    <row r="25" spans="1:6" x14ac:dyDescent="0.25">
      <c r="A25" s="8"/>
      <c r="B25" s="9">
        <v>25</v>
      </c>
      <c r="C25" s="27" t="s">
        <v>716</v>
      </c>
      <c r="D25" s="27" t="s">
        <v>207</v>
      </c>
      <c r="F25" s="9">
        <v>216</v>
      </c>
    </row>
    <row r="26" spans="1:6" x14ac:dyDescent="0.25">
      <c r="A26" s="8"/>
      <c r="B26" s="9">
        <v>26</v>
      </c>
      <c r="C26" s="27" t="s">
        <v>717</v>
      </c>
      <c r="D26" s="27" t="s">
        <v>209</v>
      </c>
      <c r="F26" s="9">
        <v>218</v>
      </c>
    </row>
    <row r="27" spans="1:6" x14ac:dyDescent="0.25">
      <c r="A27" s="8"/>
      <c r="B27" s="9">
        <v>27</v>
      </c>
      <c r="C27" s="10" t="s">
        <v>210</v>
      </c>
      <c r="D27" s="10" t="s">
        <v>211</v>
      </c>
      <c r="F27" s="9">
        <v>107</v>
      </c>
    </row>
    <row r="28" spans="1:6" x14ac:dyDescent="0.25">
      <c r="A28" s="8"/>
      <c r="B28" s="9">
        <v>28</v>
      </c>
      <c r="C28" s="10" t="s">
        <v>139</v>
      </c>
      <c r="D28" s="10" t="s">
        <v>140</v>
      </c>
      <c r="F28" s="9">
        <v>106</v>
      </c>
    </row>
    <row r="29" spans="1:6" x14ac:dyDescent="0.25">
      <c r="A29" s="8"/>
      <c r="B29" s="9">
        <v>29</v>
      </c>
      <c r="C29" s="10" t="s">
        <v>163</v>
      </c>
      <c r="D29" s="10" t="s">
        <v>164</v>
      </c>
      <c r="F29" s="9">
        <v>108</v>
      </c>
    </row>
    <row r="30" spans="1:6" x14ac:dyDescent="0.25">
      <c r="A30" s="8"/>
      <c r="B30" s="9">
        <v>30</v>
      </c>
      <c r="C30" s="10" t="s">
        <v>212</v>
      </c>
      <c r="D30" s="10" t="s">
        <v>213</v>
      </c>
      <c r="F30" s="9">
        <v>221</v>
      </c>
    </row>
    <row r="31" spans="1:6" x14ac:dyDescent="0.25">
      <c r="A31" s="8"/>
      <c r="B31" s="9">
        <v>31</v>
      </c>
      <c r="C31" s="10" t="s">
        <v>214</v>
      </c>
      <c r="D31" s="10" t="s">
        <v>215</v>
      </c>
      <c r="F31" s="9">
        <v>222</v>
      </c>
    </row>
    <row r="32" spans="1:6" x14ac:dyDescent="0.25">
      <c r="A32" s="8"/>
      <c r="B32" s="9">
        <v>32</v>
      </c>
      <c r="C32" s="10" t="s">
        <v>216</v>
      </c>
      <c r="D32" s="10" t="s">
        <v>217</v>
      </c>
      <c r="F32" s="9">
        <v>224</v>
      </c>
    </row>
    <row r="33" spans="1:6" x14ac:dyDescent="0.25">
      <c r="A33" s="8"/>
      <c r="B33" s="9">
        <v>33</v>
      </c>
      <c r="C33" s="27" t="s">
        <v>707</v>
      </c>
      <c r="D33" s="27" t="s">
        <v>706</v>
      </c>
      <c r="F33" s="9">
        <v>225</v>
      </c>
    </row>
    <row r="34" spans="1:6" x14ac:dyDescent="0.25">
      <c r="A34" s="8"/>
      <c r="B34" s="9">
        <v>34</v>
      </c>
      <c r="C34" s="10" t="s">
        <v>141</v>
      </c>
      <c r="D34" s="10" t="s">
        <v>142</v>
      </c>
      <c r="F34" s="9">
        <v>226</v>
      </c>
    </row>
    <row r="35" spans="1:6" x14ac:dyDescent="0.25">
      <c r="A35" s="8"/>
      <c r="B35" s="9">
        <v>35</v>
      </c>
      <c r="C35" s="10" t="s">
        <v>143</v>
      </c>
      <c r="D35" s="10" t="s">
        <v>144</v>
      </c>
      <c r="F35" s="9">
        <v>227</v>
      </c>
    </row>
    <row r="36" spans="1:6" x14ac:dyDescent="0.25">
      <c r="A36" s="8"/>
      <c r="B36" s="9">
        <v>36</v>
      </c>
      <c r="C36" s="27" t="s">
        <v>704</v>
      </c>
      <c r="D36" s="27" t="s">
        <v>705</v>
      </c>
      <c r="F36" s="9">
        <v>228</v>
      </c>
    </row>
    <row r="37" spans="1:6" x14ac:dyDescent="0.25">
      <c r="A37" s="8"/>
      <c r="B37" s="9">
        <v>37</v>
      </c>
      <c r="C37" s="27" t="s">
        <v>708</v>
      </c>
      <c r="D37" s="27" t="s">
        <v>709</v>
      </c>
      <c r="F37" s="9">
        <v>230</v>
      </c>
    </row>
    <row r="38" spans="1:6" x14ac:dyDescent="0.25">
      <c r="A38" s="8"/>
      <c r="B38" s="9">
        <v>38</v>
      </c>
      <c r="C38" s="10" t="s">
        <v>145</v>
      </c>
      <c r="D38" s="10" t="s">
        <v>146</v>
      </c>
      <c r="F38" s="9">
        <v>81</v>
      </c>
    </row>
    <row r="39" spans="1:6" x14ac:dyDescent="0.25">
      <c r="A39" s="8"/>
      <c r="B39" s="9">
        <v>39</v>
      </c>
      <c r="C39" s="10" t="s">
        <v>218</v>
      </c>
      <c r="D39" s="10" t="s">
        <v>219</v>
      </c>
      <c r="F39" s="9">
        <v>82</v>
      </c>
    </row>
    <row r="40" spans="1:6" x14ac:dyDescent="0.25">
      <c r="A40" s="8"/>
      <c r="B40" s="9">
        <v>40</v>
      </c>
      <c r="C40" s="10" t="s">
        <v>147</v>
      </c>
      <c r="D40" s="10" t="s">
        <v>148</v>
      </c>
      <c r="F40" s="9">
        <v>83</v>
      </c>
    </row>
    <row r="41" spans="1:6" x14ac:dyDescent="0.25">
      <c r="A41" s="8"/>
      <c r="B41" s="9">
        <v>41</v>
      </c>
      <c r="C41" s="10" t="s">
        <v>220</v>
      </c>
      <c r="D41" s="10" t="s">
        <v>221</v>
      </c>
      <c r="F41" s="9">
        <v>84</v>
      </c>
    </row>
    <row r="42" spans="1:6" x14ac:dyDescent="0.25">
      <c r="A42" s="8"/>
      <c r="B42" s="9">
        <v>42</v>
      </c>
      <c r="C42" s="10" t="s">
        <v>222</v>
      </c>
      <c r="D42" s="10" t="s">
        <v>223</v>
      </c>
      <c r="F42" s="13">
        <v>255</v>
      </c>
    </row>
    <row r="43" spans="1:6" x14ac:dyDescent="0.25">
      <c r="A43" s="8"/>
      <c r="B43" s="9">
        <v>43</v>
      </c>
      <c r="C43" s="10" t="s">
        <v>224</v>
      </c>
      <c r="D43" s="10" t="s">
        <v>225</v>
      </c>
    </row>
    <row r="44" spans="1:6" x14ac:dyDescent="0.25">
      <c r="A44" s="8"/>
      <c r="B44" s="9">
        <v>44</v>
      </c>
      <c r="C44" s="10" t="s">
        <v>226</v>
      </c>
      <c r="D44" s="10" t="s">
        <v>227</v>
      </c>
      <c r="F44" s="11"/>
    </row>
    <row r="45" spans="1:6" x14ac:dyDescent="0.25">
      <c r="A45" s="8"/>
      <c r="B45" s="9">
        <v>45</v>
      </c>
      <c r="C45" s="10" t="s">
        <v>228</v>
      </c>
      <c r="D45" s="10" t="s">
        <v>229</v>
      </c>
      <c r="F45" s="11"/>
    </row>
    <row r="46" spans="1:6" x14ac:dyDescent="0.25">
      <c r="A46" s="8"/>
      <c r="B46" s="9">
        <v>46</v>
      </c>
      <c r="C46" s="10" t="s">
        <v>165</v>
      </c>
      <c r="D46" s="10" t="s">
        <v>166</v>
      </c>
      <c r="F46" s="11"/>
    </row>
    <row r="47" spans="1:6" x14ac:dyDescent="0.25">
      <c r="A47" s="8"/>
      <c r="B47" s="9">
        <v>47</v>
      </c>
      <c r="C47" s="10" t="s">
        <v>129</v>
      </c>
      <c r="D47" s="10" t="s">
        <v>130</v>
      </c>
      <c r="F47" s="11"/>
    </row>
    <row r="48" spans="1:6" x14ac:dyDescent="0.25">
      <c r="A48" s="8"/>
      <c r="B48" s="9">
        <v>48</v>
      </c>
      <c r="C48" s="27" t="s">
        <v>700</v>
      </c>
      <c r="D48" s="27" t="s">
        <v>701</v>
      </c>
      <c r="F48" s="11"/>
    </row>
    <row r="49" spans="1:6" x14ac:dyDescent="0.25">
      <c r="A49" s="8"/>
      <c r="B49" s="9">
        <v>49</v>
      </c>
      <c r="C49" s="27" t="s">
        <v>703</v>
      </c>
      <c r="D49" s="27" t="s">
        <v>702</v>
      </c>
      <c r="F49" s="11"/>
    </row>
    <row r="50" spans="1:6" x14ac:dyDescent="0.25">
      <c r="A50" s="8"/>
      <c r="B50" s="9">
        <v>50</v>
      </c>
      <c r="C50" s="10" t="s">
        <v>149</v>
      </c>
      <c r="D50" s="10" t="s">
        <v>150</v>
      </c>
      <c r="F50" s="11"/>
    </row>
    <row r="51" spans="1:6" x14ac:dyDescent="0.25">
      <c r="A51" s="8"/>
      <c r="B51" s="9">
        <v>51</v>
      </c>
      <c r="C51" s="10" t="s">
        <v>230</v>
      </c>
      <c r="D51" s="10" t="s">
        <v>231</v>
      </c>
      <c r="F51" s="11"/>
    </row>
    <row r="52" spans="1:6" x14ac:dyDescent="0.25">
      <c r="A52" s="8"/>
      <c r="B52" s="9">
        <v>52</v>
      </c>
      <c r="C52" s="10" t="s">
        <v>232</v>
      </c>
      <c r="D52" s="10" t="s">
        <v>233</v>
      </c>
      <c r="F52" s="11"/>
    </row>
    <row r="53" spans="1:6" x14ac:dyDescent="0.25">
      <c r="A53" s="8"/>
      <c r="B53" s="9">
        <v>53</v>
      </c>
      <c r="C53" s="10" t="s">
        <v>234</v>
      </c>
      <c r="D53" s="10" t="s">
        <v>235</v>
      </c>
      <c r="F53" s="11"/>
    </row>
    <row r="54" spans="1:6" x14ac:dyDescent="0.25">
      <c r="A54" s="8"/>
      <c r="B54" s="9">
        <v>54</v>
      </c>
      <c r="C54" s="10" t="s">
        <v>236</v>
      </c>
      <c r="D54" s="10" t="s">
        <v>237</v>
      </c>
      <c r="F54" s="11"/>
    </row>
    <row r="55" spans="1:6" x14ac:dyDescent="0.25">
      <c r="A55" s="8"/>
      <c r="B55" s="9">
        <v>55</v>
      </c>
      <c r="C55" s="10" t="s">
        <v>151</v>
      </c>
      <c r="D55" s="10" t="s">
        <v>152</v>
      </c>
      <c r="F55" s="11"/>
    </row>
    <row r="56" spans="1:6" x14ac:dyDescent="0.25">
      <c r="A56" s="8"/>
      <c r="B56" s="9">
        <v>56</v>
      </c>
      <c r="C56" s="10" t="s">
        <v>153</v>
      </c>
      <c r="D56" s="10" t="s">
        <v>154</v>
      </c>
      <c r="F56" s="11"/>
    </row>
    <row r="57" spans="1:6" x14ac:dyDescent="0.25">
      <c r="A57" s="8"/>
      <c r="B57" s="9">
        <v>57</v>
      </c>
      <c r="C57" s="10" t="s">
        <v>167</v>
      </c>
      <c r="D57" s="10" t="s">
        <v>168</v>
      </c>
      <c r="F57" s="11"/>
    </row>
    <row r="58" spans="1:6" x14ac:dyDescent="0.25">
      <c r="A58" s="8"/>
      <c r="B58" s="9">
        <v>58</v>
      </c>
      <c r="C58" s="10" t="s">
        <v>169</v>
      </c>
      <c r="D58" s="10" t="s">
        <v>170</v>
      </c>
      <c r="F58" s="11"/>
    </row>
    <row r="59" spans="1:6" x14ac:dyDescent="0.25">
      <c r="A59" s="8"/>
      <c r="B59" s="9">
        <v>59</v>
      </c>
      <c r="C59" s="28" t="s">
        <v>712</v>
      </c>
      <c r="D59" s="27" t="s">
        <v>711</v>
      </c>
      <c r="F59" s="11"/>
    </row>
    <row r="60" spans="1:6" x14ac:dyDescent="0.25">
      <c r="A60" s="8"/>
      <c r="B60" s="9">
        <v>60</v>
      </c>
      <c r="C60" s="10" t="s">
        <v>155</v>
      </c>
      <c r="D60" s="10" t="s">
        <v>156</v>
      </c>
      <c r="F60" s="11"/>
    </row>
    <row r="61" spans="1:6" x14ac:dyDescent="0.25">
      <c r="A61" s="8"/>
      <c r="B61" s="9">
        <v>61</v>
      </c>
      <c r="C61" s="10" t="s">
        <v>238</v>
      </c>
      <c r="D61" s="10" t="s">
        <v>239</v>
      </c>
      <c r="F61" s="11"/>
    </row>
    <row r="62" spans="1:6" x14ac:dyDescent="0.25">
      <c r="A62" s="8"/>
      <c r="B62" s="9">
        <v>62</v>
      </c>
      <c r="C62" s="10" t="s">
        <v>240</v>
      </c>
      <c r="D62" s="10" t="s">
        <v>241</v>
      </c>
      <c r="F62" s="11"/>
    </row>
    <row r="63" spans="1:6" x14ac:dyDescent="0.25">
      <c r="A63" s="8"/>
      <c r="B63" s="9">
        <v>63</v>
      </c>
      <c r="C63" s="10" t="s">
        <v>242</v>
      </c>
      <c r="D63" s="10" t="s">
        <v>243</v>
      </c>
      <c r="F63" s="11"/>
    </row>
    <row r="64" spans="1:6" x14ac:dyDescent="0.25">
      <c r="A64" s="8"/>
      <c r="B64" s="9">
        <v>64</v>
      </c>
      <c r="C64" s="10" t="s">
        <v>244</v>
      </c>
      <c r="D64" s="10" t="s">
        <v>245</v>
      </c>
      <c r="F64" s="11"/>
    </row>
    <row r="65" spans="1:6" x14ac:dyDescent="0.25">
      <c r="A65" s="8"/>
      <c r="B65" s="9">
        <v>65</v>
      </c>
      <c r="C65" s="10" t="s">
        <v>246</v>
      </c>
      <c r="D65" s="10" t="s">
        <v>247</v>
      </c>
      <c r="F65" s="11"/>
    </row>
    <row r="66" spans="1:6" x14ac:dyDescent="0.25">
      <c r="A66" s="8"/>
      <c r="B66" s="9">
        <v>66</v>
      </c>
      <c r="C66" s="10" t="s">
        <v>248</v>
      </c>
      <c r="D66" s="10" t="s">
        <v>249</v>
      </c>
      <c r="F66" s="11"/>
    </row>
    <row r="67" spans="1:6" x14ac:dyDescent="0.25">
      <c r="A67" s="8"/>
      <c r="B67" s="9">
        <v>67</v>
      </c>
      <c r="C67" s="10" t="s">
        <v>250</v>
      </c>
      <c r="D67" s="10" t="s">
        <v>251</v>
      </c>
      <c r="F67" s="11"/>
    </row>
    <row r="68" spans="1:6" x14ac:dyDescent="0.25">
      <c r="A68" s="8"/>
      <c r="B68" s="9">
        <v>68</v>
      </c>
      <c r="C68" s="10" t="s">
        <v>252</v>
      </c>
      <c r="D68" s="10" t="s">
        <v>253</v>
      </c>
      <c r="F68" s="11"/>
    </row>
    <row r="69" spans="1:6" x14ac:dyDescent="0.25">
      <c r="A69" s="8"/>
      <c r="B69" s="9">
        <v>69</v>
      </c>
      <c r="C69" s="10" t="s">
        <v>254</v>
      </c>
      <c r="D69" s="10" t="s">
        <v>255</v>
      </c>
      <c r="F69" s="11"/>
    </row>
    <row r="70" spans="1:6" x14ac:dyDescent="0.25">
      <c r="A70" s="8"/>
      <c r="B70" s="9">
        <v>70</v>
      </c>
      <c r="C70" s="10" t="s">
        <v>256</v>
      </c>
      <c r="D70" s="10" t="s">
        <v>257</v>
      </c>
      <c r="F70" s="11"/>
    </row>
    <row r="71" spans="1:6" x14ac:dyDescent="0.25">
      <c r="A71" s="8"/>
      <c r="B71" s="9">
        <v>71</v>
      </c>
      <c r="C71" s="10" t="s">
        <v>258</v>
      </c>
      <c r="D71" s="10" t="s">
        <v>259</v>
      </c>
      <c r="F71" s="11"/>
    </row>
    <row r="72" spans="1:6" x14ac:dyDescent="0.25">
      <c r="A72" s="8"/>
      <c r="B72" s="9">
        <v>72</v>
      </c>
      <c r="C72" s="10" t="s">
        <v>260</v>
      </c>
      <c r="D72" s="10" t="s">
        <v>261</v>
      </c>
      <c r="F72" s="11"/>
    </row>
    <row r="73" spans="1:6" x14ac:dyDescent="0.25">
      <c r="A73" s="8"/>
      <c r="B73" s="9">
        <v>73</v>
      </c>
      <c r="C73" s="10" t="s">
        <v>262</v>
      </c>
      <c r="D73" s="10" t="s">
        <v>263</v>
      </c>
    </row>
    <row r="74" spans="1:6" x14ac:dyDescent="0.25">
      <c r="A74" s="8"/>
      <c r="B74" s="9">
        <v>74</v>
      </c>
      <c r="C74" s="10" t="s">
        <v>264</v>
      </c>
      <c r="D74" s="10" t="s">
        <v>265</v>
      </c>
    </row>
    <row r="75" spans="1:6" x14ac:dyDescent="0.25">
      <c r="A75" s="8"/>
      <c r="B75" s="9">
        <v>75</v>
      </c>
      <c r="C75" s="10" t="s">
        <v>266</v>
      </c>
      <c r="D75" s="10" t="s">
        <v>267</v>
      </c>
    </row>
    <row r="76" spans="1:6" x14ac:dyDescent="0.25">
      <c r="A76" s="8"/>
      <c r="B76" s="9">
        <v>76</v>
      </c>
      <c r="C76" s="10" t="s">
        <v>157</v>
      </c>
      <c r="D76" s="10" t="s">
        <v>158</v>
      </c>
    </row>
    <row r="77" spans="1:6" x14ac:dyDescent="0.25">
      <c r="A77" s="8"/>
      <c r="B77" s="9">
        <v>77</v>
      </c>
      <c r="C77" s="10" t="s">
        <v>271</v>
      </c>
      <c r="D77" s="10" t="s">
        <v>272</v>
      </c>
    </row>
    <row r="78" spans="1:6" x14ac:dyDescent="0.25">
      <c r="A78" s="8"/>
      <c r="B78" s="9">
        <v>78</v>
      </c>
      <c r="C78" s="10" t="s">
        <v>273</v>
      </c>
      <c r="D78" s="10" t="s">
        <v>274</v>
      </c>
    </row>
    <row r="79" spans="1:6" x14ac:dyDescent="0.25">
      <c r="A79" s="8"/>
      <c r="B79" s="9">
        <v>79</v>
      </c>
      <c r="C79" s="10" t="s">
        <v>275</v>
      </c>
      <c r="D79" s="10" t="s">
        <v>276</v>
      </c>
    </row>
    <row r="80" spans="1:6" x14ac:dyDescent="0.25">
      <c r="A80" s="8"/>
      <c r="B80" s="9">
        <v>80</v>
      </c>
      <c r="C80" s="10" t="s">
        <v>277</v>
      </c>
      <c r="D80" s="10" t="s">
        <v>278</v>
      </c>
    </row>
    <row r="81" spans="1:4" x14ac:dyDescent="0.25">
      <c r="A81" s="8"/>
      <c r="B81" s="9">
        <v>81</v>
      </c>
      <c r="C81" s="10" t="s">
        <v>571</v>
      </c>
      <c r="D81" s="10" t="s">
        <v>359</v>
      </c>
    </row>
    <row r="82" spans="1:4" x14ac:dyDescent="0.25">
      <c r="A82" s="8"/>
      <c r="B82" s="9">
        <v>82</v>
      </c>
      <c r="C82" s="10" t="s">
        <v>572</v>
      </c>
      <c r="D82" s="10" t="s">
        <v>360</v>
      </c>
    </row>
    <row r="83" spans="1:4" x14ac:dyDescent="0.25">
      <c r="A83" s="8"/>
      <c r="B83" s="9">
        <v>83</v>
      </c>
      <c r="C83" s="10" t="s">
        <v>573</v>
      </c>
      <c r="D83" s="10" t="s">
        <v>361</v>
      </c>
    </row>
    <row r="84" spans="1:4" x14ac:dyDescent="0.25">
      <c r="A84" s="8"/>
      <c r="B84" s="9">
        <v>84</v>
      </c>
      <c r="C84" s="10" t="s">
        <v>574</v>
      </c>
      <c r="D84" s="10" t="s">
        <v>362</v>
      </c>
    </row>
    <row r="85" spans="1:4" x14ac:dyDescent="0.25">
      <c r="A85" s="8"/>
      <c r="B85" s="9">
        <v>85</v>
      </c>
      <c r="C85" s="10" t="s">
        <v>575</v>
      </c>
      <c r="D85" s="10" t="s">
        <v>363</v>
      </c>
    </row>
    <row r="86" spans="1:4" x14ac:dyDescent="0.25">
      <c r="A86" s="8"/>
      <c r="B86" s="9">
        <v>86</v>
      </c>
      <c r="C86" s="10" t="s">
        <v>576</v>
      </c>
      <c r="D86" s="10" t="s">
        <v>364</v>
      </c>
    </row>
    <row r="87" spans="1:4" x14ac:dyDescent="0.25">
      <c r="A87" s="8"/>
      <c r="B87" s="9">
        <v>87</v>
      </c>
      <c r="C87" s="10" t="s">
        <v>577</v>
      </c>
      <c r="D87" s="10" t="s">
        <v>365</v>
      </c>
    </row>
    <row r="88" spans="1:4" x14ac:dyDescent="0.25">
      <c r="A88" s="8"/>
      <c r="B88" s="9">
        <v>88</v>
      </c>
      <c r="C88" s="10" t="s">
        <v>578</v>
      </c>
      <c r="D88" s="10" t="s">
        <v>366</v>
      </c>
    </row>
    <row r="89" spans="1:4" x14ac:dyDescent="0.25">
      <c r="A89" s="8"/>
      <c r="B89" s="9">
        <v>89</v>
      </c>
      <c r="C89" s="10" t="s">
        <v>579</v>
      </c>
      <c r="D89" s="10" t="s">
        <v>367</v>
      </c>
    </row>
    <row r="90" spans="1:4" x14ac:dyDescent="0.25">
      <c r="A90" s="8"/>
      <c r="B90" s="9">
        <v>90</v>
      </c>
      <c r="C90" s="10" t="s">
        <v>580</v>
      </c>
      <c r="D90" s="10" t="s">
        <v>368</v>
      </c>
    </row>
    <row r="91" spans="1:4" x14ac:dyDescent="0.25">
      <c r="A91" s="8"/>
      <c r="B91" s="9">
        <v>91</v>
      </c>
      <c r="C91" s="10" t="s">
        <v>581</v>
      </c>
      <c r="D91" s="10" t="s">
        <v>369</v>
      </c>
    </row>
    <row r="92" spans="1:4" x14ac:dyDescent="0.25">
      <c r="A92" s="8"/>
      <c r="B92" s="9">
        <v>92</v>
      </c>
      <c r="C92" s="10" t="s">
        <v>582</v>
      </c>
      <c r="D92" s="10" t="s">
        <v>370</v>
      </c>
    </row>
    <row r="93" spans="1:4" x14ac:dyDescent="0.25">
      <c r="A93" s="8"/>
      <c r="B93" s="9">
        <v>93</v>
      </c>
      <c r="C93" s="10" t="s">
        <v>583</v>
      </c>
      <c r="D93" s="10" t="s">
        <v>371</v>
      </c>
    </row>
    <row r="94" spans="1:4" x14ac:dyDescent="0.25">
      <c r="A94" s="8"/>
      <c r="B94" s="9">
        <v>94</v>
      </c>
      <c r="C94" s="10" t="s">
        <v>584</v>
      </c>
      <c r="D94" s="10" t="s">
        <v>372</v>
      </c>
    </row>
    <row r="95" spans="1:4" x14ac:dyDescent="0.25">
      <c r="A95" s="8"/>
      <c r="B95" s="9">
        <v>95</v>
      </c>
      <c r="C95" s="10" t="s">
        <v>585</v>
      </c>
      <c r="D95" s="10" t="s">
        <v>373</v>
      </c>
    </row>
    <row r="96" spans="1:4" x14ac:dyDescent="0.25">
      <c r="A96" s="8"/>
      <c r="B96" s="9">
        <v>96</v>
      </c>
      <c r="C96" s="10" t="s">
        <v>586</v>
      </c>
      <c r="D96" s="10" t="s">
        <v>374</v>
      </c>
    </row>
    <row r="97" spans="1:4" x14ac:dyDescent="0.25">
      <c r="A97" s="8"/>
      <c r="B97" s="9">
        <v>97</v>
      </c>
      <c r="C97" s="10" t="s">
        <v>587</v>
      </c>
      <c r="D97" s="10" t="s">
        <v>375</v>
      </c>
    </row>
    <row r="98" spans="1:4" x14ac:dyDescent="0.25">
      <c r="A98" s="8"/>
      <c r="B98" s="9">
        <v>98</v>
      </c>
      <c r="C98" s="10" t="s">
        <v>588</v>
      </c>
      <c r="D98" s="10" t="s">
        <v>376</v>
      </c>
    </row>
    <row r="99" spans="1:4" x14ac:dyDescent="0.25">
      <c r="A99" s="8"/>
      <c r="B99" s="9">
        <v>99</v>
      </c>
      <c r="C99" s="10" t="s">
        <v>589</v>
      </c>
      <c r="D99" s="10" t="s">
        <v>377</v>
      </c>
    </row>
    <row r="100" spans="1:4" x14ac:dyDescent="0.25">
      <c r="A100" s="8"/>
      <c r="B100" s="9">
        <v>100</v>
      </c>
      <c r="C100" s="10" t="s">
        <v>590</v>
      </c>
      <c r="D100" s="10" t="s">
        <v>378</v>
      </c>
    </row>
    <row r="101" spans="1:4" x14ac:dyDescent="0.25">
      <c r="A101" s="8"/>
      <c r="B101" s="9">
        <v>101</v>
      </c>
      <c r="C101" s="10" t="s">
        <v>591</v>
      </c>
      <c r="D101" s="10" t="s">
        <v>379</v>
      </c>
    </row>
    <row r="102" spans="1:4" x14ac:dyDescent="0.25">
      <c r="A102" s="8"/>
      <c r="B102" s="9">
        <v>102</v>
      </c>
      <c r="C102" s="10" t="s">
        <v>592</v>
      </c>
      <c r="D102" s="10" t="s">
        <v>380</v>
      </c>
    </row>
    <row r="103" spans="1:4" x14ac:dyDescent="0.25">
      <c r="A103" s="8"/>
      <c r="B103" s="9">
        <v>103</v>
      </c>
      <c r="C103" s="10" t="s">
        <v>593</v>
      </c>
      <c r="D103" s="10" t="s">
        <v>381</v>
      </c>
    </row>
    <row r="104" spans="1:4" x14ac:dyDescent="0.25">
      <c r="A104" s="8"/>
      <c r="B104" s="9">
        <v>104</v>
      </c>
      <c r="C104" s="10" t="s">
        <v>595</v>
      </c>
      <c r="D104" s="10" t="s">
        <v>383</v>
      </c>
    </row>
    <row r="105" spans="1:4" x14ac:dyDescent="0.25">
      <c r="A105" s="8"/>
      <c r="B105" s="9">
        <v>105</v>
      </c>
      <c r="C105" s="10" t="s">
        <v>279</v>
      </c>
      <c r="D105" s="10" t="s">
        <v>280</v>
      </c>
    </row>
    <row r="106" spans="1:4" x14ac:dyDescent="0.25">
      <c r="A106" s="8"/>
      <c r="B106" s="9">
        <v>106</v>
      </c>
      <c r="C106" s="10" t="s">
        <v>281</v>
      </c>
      <c r="D106" s="10" t="s">
        <v>282</v>
      </c>
    </row>
    <row r="107" spans="1:4" x14ac:dyDescent="0.25">
      <c r="A107" s="8"/>
      <c r="B107" s="9">
        <v>107</v>
      </c>
      <c r="C107" s="10" t="s">
        <v>283</v>
      </c>
      <c r="D107" s="10" t="s">
        <v>284</v>
      </c>
    </row>
    <row r="108" spans="1:4" x14ac:dyDescent="0.25">
      <c r="A108" s="8"/>
      <c r="B108" s="9">
        <v>108</v>
      </c>
      <c r="C108" s="10" t="s">
        <v>285</v>
      </c>
      <c r="D108" s="10" t="s">
        <v>286</v>
      </c>
    </row>
    <row r="109" spans="1:4" x14ac:dyDescent="0.25">
      <c r="A109" s="8"/>
      <c r="B109" s="9">
        <v>109</v>
      </c>
      <c r="C109" s="10" t="s">
        <v>287</v>
      </c>
      <c r="D109" s="10" t="s">
        <v>288</v>
      </c>
    </row>
    <row r="110" spans="1:4" x14ac:dyDescent="0.25">
      <c r="A110" s="8"/>
      <c r="B110" s="9">
        <v>110</v>
      </c>
      <c r="C110" s="10" t="s">
        <v>289</v>
      </c>
      <c r="D110" s="10" t="s">
        <v>290</v>
      </c>
    </row>
    <row r="111" spans="1:4" x14ac:dyDescent="0.25">
      <c r="A111" s="8"/>
      <c r="B111" s="9">
        <v>111</v>
      </c>
      <c r="C111" s="10" t="s">
        <v>291</v>
      </c>
      <c r="D111" s="10" t="s">
        <v>292</v>
      </c>
    </row>
    <row r="112" spans="1:4" x14ac:dyDescent="0.25">
      <c r="A112" s="8"/>
      <c r="B112" s="9">
        <v>112</v>
      </c>
      <c r="C112" s="10" t="s">
        <v>293</v>
      </c>
      <c r="D112" s="10" t="s">
        <v>294</v>
      </c>
    </row>
    <row r="113" spans="1:4" x14ac:dyDescent="0.25">
      <c r="A113" s="8"/>
      <c r="B113" s="9">
        <v>113</v>
      </c>
      <c r="C113" s="10" t="s">
        <v>295</v>
      </c>
      <c r="D113" s="10" t="s">
        <v>296</v>
      </c>
    </row>
    <row r="114" spans="1:4" x14ac:dyDescent="0.25">
      <c r="A114" s="8"/>
      <c r="B114" s="9">
        <v>114</v>
      </c>
      <c r="C114" s="10" t="s">
        <v>297</v>
      </c>
      <c r="D114" s="10" t="s">
        <v>298</v>
      </c>
    </row>
    <row r="115" spans="1:4" x14ac:dyDescent="0.25">
      <c r="A115" s="8"/>
      <c r="B115" s="9">
        <v>115</v>
      </c>
      <c r="C115" s="10" t="s">
        <v>299</v>
      </c>
      <c r="D115" s="10" t="s">
        <v>300</v>
      </c>
    </row>
    <row r="116" spans="1:4" x14ac:dyDescent="0.25">
      <c r="A116" s="8"/>
      <c r="B116" s="9">
        <v>116</v>
      </c>
      <c r="C116" s="10" t="s">
        <v>301</v>
      </c>
      <c r="D116" s="10" t="s">
        <v>302</v>
      </c>
    </row>
    <row r="117" spans="1:4" x14ac:dyDescent="0.25">
      <c r="A117" s="8"/>
      <c r="B117" s="9">
        <v>117</v>
      </c>
      <c r="C117" s="10" t="s">
        <v>303</v>
      </c>
      <c r="D117" s="10" t="s">
        <v>304</v>
      </c>
    </row>
    <row r="118" spans="1:4" x14ac:dyDescent="0.25">
      <c r="A118" s="8"/>
      <c r="B118" s="9">
        <v>118</v>
      </c>
      <c r="C118" s="10" t="s">
        <v>305</v>
      </c>
      <c r="D118" s="10" t="s">
        <v>306</v>
      </c>
    </row>
    <row r="119" spans="1:4" x14ac:dyDescent="0.25">
      <c r="A119" s="8"/>
      <c r="B119" s="9">
        <v>119</v>
      </c>
      <c r="C119" s="10" t="s">
        <v>307</v>
      </c>
      <c r="D119" s="10" t="s">
        <v>308</v>
      </c>
    </row>
    <row r="120" spans="1:4" x14ac:dyDescent="0.25">
      <c r="A120" s="8"/>
      <c r="B120" s="9">
        <v>120</v>
      </c>
      <c r="C120" s="10" t="s">
        <v>309</v>
      </c>
      <c r="D120" s="10" t="s">
        <v>310</v>
      </c>
    </row>
    <row r="121" spans="1:4" x14ac:dyDescent="0.25">
      <c r="A121" s="8"/>
      <c r="B121" s="9">
        <v>121</v>
      </c>
      <c r="C121" s="10" t="s">
        <v>311</v>
      </c>
      <c r="D121" s="10" t="s">
        <v>312</v>
      </c>
    </row>
    <row r="122" spans="1:4" x14ac:dyDescent="0.25">
      <c r="A122" s="8"/>
      <c r="B122" s="9">
        <v>122</v>
      </c>
      <c r="C122" s="10" t="s">
        <v>313</v>
      </c>
      <c r="D122" s="10" t="s">
        <v>314</v>
      </c>
    </row>
    <row r="123" spans="1:4" x14ac:dyDescent="0.25">
      <c r="A123" s="8"/>
      <c r="B123" s="9">
        <v>123</v>
      </c>
      <c r="C123" s="10" t="s">
        <v>315</v>
      </c>
      <c r="D123" s="10" t="s">
        <v>316</v>
      </c>
    </row>
    <row r="124" spans="1:4" x14ac:dyDescent="0.25">
      <c r="A124" s="8"/>
      <c r="B124" s="9">
        <v>124</v>
      </c>
      <c r="C124" s="10" t="s">
        <v>317</v>
      </c>
      <c r="D124" s="10" t="s">
        <v>318</v>
      </c>
    </row>
    <row r="125" spans="1:4" x14ac:dyDescent="0.25">
      <c r="A125" s="8"/>
      <c r="B125" s="9">
        <v>125</v>
      </c>
      <c r="C125" s="10" t="s">
        <v>319</v>
      </c>
      <c r="D125" s="10" t="s">
        <v>320</v>
      </c>
    </row>
    <row r="126" spans="1:4" x14ac:dyDescent="0.25">
      <c r="A126" s="8"/>
      <c r="B126" s="9">
        <v>126</v>
      </c>
      <c r="C126" s="10" t="s">
        <v>321</v>
      </c>
      <c r="D126" s="10" t="s">
        <v>322</v>
      </c>
    </row>
    <row r="127" spans="1:4" x14ac:dyDescent="0.25">
      <c r="A127" s="8"/>
      <c r="B127" s="9">
        <v>127</v>
      </c>
      <c r="C127" s="10" t="s">
        <v>323</v>
      </c>
      <c r="D127" s="10" t="s">
        <v>324</v>
      </c>
    </row>
    <row r="128" spans="1:4" x14ac:dyDescent="0.25">
      <c r="A128" s="8"/>
      <c r="B128" s="9">
        <v>128</v>
      </c>
      <c r="C128" s="10" t="s">
        <v>325</v>
      </c>
      <c r="D128" s="10" t="s">
        <v>326</v>
      </c>
    </row>
    <row r="129" spans="1:4" x14ac:dyDescent="0.25">
      <c r="A129" s="8"/>
      <c r="B129" s="9">
        <v>129</v>
      </c>
      <c r="C129" s="10" t="s">
        <v>327</v>
      </c>
      <c r="D129" s="10" t="s">
        <v>328</v>
      </c>
    </row>
    <row r="130" spans="1:4" x14ac:dyDescent="0.25">
      <c r="A130" s="8"/>
      <c r="B130" s="9">
        <v>130</v>
      </c>
      <c r="C130" s="10" t="s">
        <v>329</v>
      </c>
      <c r="D130" s="10" t="s">
        <v>330</v>
      </c>
    </row>
    <row r="131" spans="1:4" x14ac:dyDescent="0.25">
      <c r="A131" s="8"/>
      <c r="B131" s="9">
        <v>131</v>
      </c>
      <c r="C131" s="10" t="s">
        <v>596</v>
      </c>
      <c r="D131" s="10" t="s">
        <v>384</v>
      </c>
    </row>
    <row r="132" spans="1:4" x14ac:dyDescent="0.25">
      <c r="A132" s="8"/>
      <c r="B132" s="9">
        <v>132</v>
      </c>
      <c r="C132" s="10" t="s">
        <v>331</v>
      </c>
      <c r="D132" s="10" t="s">
        <v>332</v>
      </c>
    </row>
    <row r="133" spans="1:4" x14ac:dyDescent="0.25">
      <c r="A133" s="8"/>
      <c r="B133" s="9">
        <v>133</v>
      </c>
      <c r="C133" s="10" t="s">
        <v>333</v>
      </c>
      <c r="D133" s="10" t="s">
        <v>334</v>
      </c>
    </row>
    <row r="134" spans="1:4" x14ac:dyDescent="0.25">
      <c r="A134" s="8"/>
      <c r="B134" s="9">
        <v>134</v>
      </c>
      <c r="C134" s="10" t="s">
        <v>335</v>
      </c>
      <c r="D134" s="10" t="s">
        <v>336</v>
      </c>
    </row>
    <row r="135" spans="1:4" x14ac:dyDescent="0.25">
      <c r="A135" s="8"/>
      <c r="B135" s="9">
        <v>135</v>
      </c>
      <c r="C135" s="10" t="s">
        <v>597</v>
      </c>
      <c r="D135" s="10" t="s">
        <v>385</v>
      </c>
    </row>
    <row r="136" spans="1:4" x14ac:dyDescent="0.25">
      <c r="A136" s="8"/>
      <c r="B136" s="9">
        <v>136</v>
      </c>
      <c r="C136" s="10" t="s">
        <v>337</v>
      </c>
      <c r="D136" s="10" t="s">
        <v>338</v>
      </c>
    </row>
    <row r="137" spans="1:4" x14ac:dyDescent="0.25">
      <c r="A137" s="8"/>
      <c r="B137" s="9">
        <v>137</v>
      </c>
      <c r="C137" s="10" t="s">
        <v>339</v>
      </c>
      <c r="D137" s="10" t="s">
        <v>340</v>
      </c>
    </row>
    <row r="138" spans="1:4" x14ac:dyDescent="0.25">
      <c r="A138" s="8"/>
      <c r="B138" s="9">
        <v>138</v>
      </c>
      <c r="C138" s="10" t="s">
        <v>341</v>
      </c>
      <c r="D138" s="10" t="s">
        <v>342</v>
      </c>
    </row>
    <row r="139" spans="1:4" x14ac:dyDescent="0.25">
      <c r="A139" s="8"/>
      <c r="B139" s="9">
        <v>139</v>
      </c>
      <c r="C139" s="10" t="s">
        <v>343</v>
      </c>
      <c r="D139" s="10" t="s">
        <v>344</v>
      </c>
    </row>
    <row r="140" spans="1:4" x14ac:dyDescent="0.25">
      <c r="A140" s="8"/>
      <c r="B140" s="9">
        <v>140</v>
      </c>
      <c r="C140" s="10" t="s">
        <v>345</v>
      </c>
      <c r="D140" s="10" t="s">
        <v>346</v>
      </c>
    </row>
    <row r="141" spans="1:4" x14ac:dyDescent="0.25">
      <c r="A141" s="8"/>
      <c r="B141" s="9">
        <v>141</v>
      </c>
      <c r="C141" s="10" t="s">
        <v>347</v>
      </c>
      <c r="D141" s="10" t="s">
        <v>348</v>
      </c>
    </row>
    <row r="142" spans="1:4" x14ac:dyDescent="0.25">
      <c r="A142" s="8"/>
      <c r="B142" s="9">
        <v>142</v>
      </c>
      <c r="C142" s="10" t="s">
        <v>349</v>
      </c>
      <c r="D142" s="10" t="s">
        <v>350</v>
      </c>
    </row>
    <row r="143" spans="1:4" x14ac:dyDescent="0.25">
      <c r="A143" s="8"/>
      <c r="B143" s="9">
        <v>143</v>
      </c>
      <c r="C143" s="10" t="s">
        <v>351</v>
      </c>
      <c r="D143" s="10" t="s">
        <v>352</v>
      </c>
    </row>
    <row r="144" spans="1:4" x14ac:dyDescent="0.25">
      <c r="A144" s="8"/>
      <c r="B144" s="9">
        <v>144</v>
      </c>
      <c r="C144" s="10" t="s">
        <v>353</v>
      </c>
      <c r="D144" s="10" t="s">
        <v>354</v>
      </c>
    </row>
    <row r="145" spans="1:4" x14ac:dyDescent="0.25">
      <c r="A145" s="8"/>
      <c r="B145" s="9">
        <v>145</v>
      </c>
      <c r="C145" s="10" t="s">
        <v>355</v>
      </c>
      <c r="D145" s="10" t="s">
        <v>356</v>
      </c>
    </row>
    <row r="146" spans="1:4" x14ac:dyDescent="0.25">
      <c r="A146" s="8"/>
      <c r="B146" s="9">
        <v>146</v>
      </c>
      <c r="C146" s="10" t="s">
        <v>357</v>
      </c>
      <c r="D146" s="10" t="s">
        <v>358</v>
      </c>
    </row>
    <row r="147" spans="1:4" x14ac:dyDescent="0.25">
      <c r="A147" s="8"/>
      <c r="B147" s="9">
        <v>147</v>
      </c>
      <c r="C147" s="10" t="s">
        <v>594</v>
      </c>
      <c r="D147" s="10" t="s">
        <v>382</v>
      </c>
    </row>
    <row r="148" spans="1:4" x14ac:dyDescent="0.25">
      <c r="A148" s="8"/>
      <c r="B148" s="9">
        <v>148</v>
      </c>
      <c r="C148" s="27" t="s">
        <v>719</v>
      </c>
      <c r="D148" s="27" t="s">
        <v>718</v>
      </c>
    </row>
    <row r="149" spans="1:4" x14ac:dyDescent="0.25">
      <c r="A149" s="8"/>
      <c r="B149" s="9">
        <v>149</v>
      </c>
      <c r="C149" s="10" t="s">
        <v>388</v>
      </c>
      <c r="D149" s="10" t="s">
        <v>389</v>
      </c>
    </row>
    <row r="150" spans="1:4" x14ac:dyDescent="0.25">
      <c r="A150" s="8"/>
      <c r="B150" s="9">
        <v>150</v>
      </c>
      <c r="C150" s="10" t="s">
        <v>390</v>
      </c>
      <c r="D150" s="10" t="s">
        <v>391</v>
      </c>
    </row>
    <row r="151" spans="1:4" x14ac:dyDescent="0.25">
      <c r="A151" s="8"/>
      <c r="B151" s="9">
        <v>151</v>
      </c>
      <c r="C151" s="10" t="s">
        <v>392</v>
      </c>
      <c r="D151" s="10" t="s">
        <v>393</v>
      </c>
    </row>
    <row r="152" spans="1:4" x14ac:dyDescent="0.25">
      <c r="A152" s="8"/>
      <c r="B152" s="9">
        <v>152</v>
      </c>
      <c r="C152" s="10" t="s">
        <v>394</v>
      </c>
      <c r="D152" s="10" t="s">
        <v>395</v>
      </c>
    </row>
    <row r="153" spans="1:4" x14ac:dyDescent="0.25">
      <c r="A153" s="8"/>
      <c r="B153" s="9">
        <v>153</v>
      </c>
      <c r="C153" s="10" t="s">
        <v>396</v>
      </c>
      <c r="D153" s="10" t="s">
        <v>397</v>
      </c>
    </row>
    <row r="154" spans="1:4" x14ac:dyDescent="0.25">
      <c r="A154" s="8"/>
      <c r="B154" s="9">
        <v>154</v>
      </c>
      <c r="C154" s="10" t="s">
        <v>398</v>
      </c>
      <c r="D154" s="10" t="s">
        <v>399</v>
      </c>
    </row>
    <row r="155" spans="1:4" x14ac:dyDescent="0.25">
      <c r="A155" s="8"/>
      <c r="B155" s="9">
        <v>155</v>
      </c>
      <c r="C155" s="10" t="s">
        <v>400</v>
      </c>
      <c r="D155" s="10" t="s">
        <v>401</v>
      </c>
    </row>
    <row r="156" spans="1:4" x14ac:dyDescent="0.25">
      <c r="A156" s="8"/>
      <c r="B156" s="9">
        <v>156</v>
      </c>
      <c r="C156" s="10" t="s">
        <v>402</v>
      </c>
      <c r="D156" s="10" t="s">
        <v>403</v>
      </c>
    </row>
    <row r="157" spans="1:4" x14ac:dyDescent="0.25">
      <c r="A157" s="8"/>
      <c r="B157" s="9">
        <v>157</v>
      </c>
      <c r="C157" s="10" t="s">
        <v>404</v>
      </c>
      <c r="D157" s="10" t="s">
        <v>405</v>
      </c>
    </row>
    <row r="158" spans="1:4" x14ac:dyDescent="0.25">
      <c r="A158" s="8"/>
      <c r="B158" s="9">
        <v>158</v>
      </c>
      <c r="C158" s="10" t="s">
        <v>406</v>
      </c>
      <c r="D158" s="10" t="s">
        <v>407</v>
      </c>
    </row>
    <row r="159" spans="1:4" x14ac:dyDescent="0.25">
      <c r="A159" s="8"/>
      <c r="B159" s="9">
        <v>159</v>
      </c>
      <c r="C159" s="10" t="s">
        <v>408</v>
      </c>
      <c r="D159" s="10" t="s">
        <v>409</v>
      </c>
    </row>
    <row r="160" spans="1:4" x14ac:dyDescent="0.25">
      <c r="A160" s="8"/>
      <c r="B160" s="9">
        <v>160</v>
      </c>
      <c r="C160" s="10" t="s">
        <v>410</v>
      </c>
      <c r="D160" s="10" t="s">
        <v>411</v>
      </c>
    </row>
    <row r="161" spans="1:4" x14ac:dyDescent="0.25">
      <c r="A161" s="8"/>
      <c r="B161" s="9">
        <v>161</v>
      </c>
      <c r="C161" s="10" t="s">
        <v>412</v>
      </c>
      <c r="D161" s="10" t="s">
        <v>413</v>
      </c>
    </row>
    <row r="162" spans="1:4" x14ac:dyDescent="0.25">
      <c r="A162" s="8"/>
      <c r="B162" s="9">
        <v>162</v>
      </c>
      <c r="C162" s="10" t="s">
        <v>171</v>
      </c>
      <c r="D162" s="10" t="s">
        <v>172</v>
      </c>
    </row>
    <row r="163" spans="1:4" x14ac:dyDescent="0.25">
      <c r="A163" s="8"/>
      <c r="B163" s="9">
        <v>163</v>
      </c>
      <c r="C163" s="10" t="s">
        <v>173</v>
      </c>
      <c r="D163" s="10" t="s">
        <v>174</v>
      </c>
    </row>
    <row r="164" spans="1:4" x14ac:dyDescent="0.25">
      <c r="A164" s="8"/>
      <c r="B164" s="9">
        <v>164</v>
      </c>
      <c r="C164" s="10" t="s">
        <v>175</v>
      </c>
      <c r="D164" s="10" t="s">
        <v>176</v>
      </c>
    </row>
    <row r="165" spans="1:4" x14ac:dyDescent="0.25">
      <c r="A165" s="8"/>
      <c r="B165" s="9">
        <v>165</v>
      </c>
      <c r="C165" s="10" t="s">
        <v>414</v>
      </c>
      <c r="D165" s="10" t="s">
        <v>415</v>
      </c>
    </row>
    <row r="166" spans="1:4" x14ac:dyDescent="0.25">
      <c r="A166" s="8"/>
      <c r="B166" s="9">
        <v>166</v>
      </c>
      <c r="C166" s="10" t="s">
        <v>416</v>
      </c>
      <c r="D166" s="10" t="s">
        <v>417</v>
      </c>
    </row>
    <row r="167" spans="1:4" x14ac:dyDescent="0.25">
      <c r="A167" s="8"/>
      <c r="B167" s="9">
        <v>167</v>
      </c>
      <c r="C167" s="10" t="s">
        <v>418</v>
      </c>
      <c r="D167" s="10" t="s">
        <v>419</v>
      </c>
    </row>
    <row r="168" spans="1:4" x14ac:dyDescent="0.25">
      <c r="A168" s="8"/>
      <c r="B168" s="9">
        <v>168</v>
      </c>
      <c r="C168" s="10" t="s">
        <v>420</v>
      </c>
      <c r="D168" s="10" t="s">
        <v>421</v>
      </c>
    </row>
    <row r="169" spans="1:4" x14ac:dyDescent="0.25">
      <c r="A169" s="8"/>
      <c r="B169" s="9">
        <v>169</v>
      </c>
      <c r="C169" s="10" t="s">
        <v>422</v>
      </c>
      <c r="D169" s="10" t="s">
        <v>423</v>
      </c>
    </row>
    <row r="170" spans="1:4" x14ac:dyDescent="0.25">
      <c r="A170" s="8"/>
      <c r="B170" s="9">
        <v>170</v>
      </c>
      <c r="C170" s="10" t="s">
        <v>424</v>
      </c>
      <c r="D170" s="10" t="s">
        <v>425</v>
      </c>
    </row>
    <row r="171" spans="1:4" x14ac:dyDescent="0.25">
      <c r="A171" s="8"/>
      <c r="B171" s="9">
        <v>171</v>
      </c>
      <c r="C171" s="10" t="s">
        <v>426</v>
      </c>
      <c r="D171" s="10" t="s">
        <v>427</v>
      </c>
    </row>
    <row r="172" spans="1:4" x14ac:dyDescent="0.25">
      <c r="A172" s="8"/>
      <c r="B172" s="9">
        <v>172</v>
      </c>
      <c r="C172" s="10" t="s">
        <v>428</v>
      </c>
      <c r="D172" s="10" t="s">
        <v>429</v>
      </c>
    </row>
    <row r="173" spans="1:4" x14ac:dyDescent="0.25">
      <c r="A173" s="8"/>
      <c r="B173" s="9">
        <v>173</v>
      </c>
      <c r="C173" s="10" t="s">
        <v>430</v>
      </c>
      <c r="D173" s="10" t="s">
        <v>431</v>
      </c>
    </row>
    <row r="174" spans="1:4" x14ac:dyDescent="0.25">
      <c r="A174" s="8"/>
      <c r="B174" s="9">
        <v>174</v>
      </c>
      <c r="C174" s="10" t="s">
        <v>432</v>
      </c>
      <c r="D174" s="10" t="s">
        <v>433</v>
      </c>
    </row>
    <row r="175" spans="1:4" x14ac:dyDescent="0.25">
      <c r="A175" s="8"/>
      <c r="B175" s="9">
        <v>175</v>
      </c>
      <c r="C175" s="10" t="s">
        <v>434</v>
      </c>
      <c r="D175" s="10" t="s">
        <v>435</v>
      </c>
    </row>
    <row r="176" spans="1:4" x14ac:dyDescent="0.25">
      <c r="A176" s="8"/>
      <c r="B176" s="9">
        <v>176</v>
      </c>
      <c r="C176" s="10" t="s">
        <v>436</v>
      </c>
      <c r="D176" s="10" t="s">
        <v>437</v>
      </c>
    </row>
    <row r="177" spans="1:4" x14ac:dyDescent="0.25">
      <c r="A177" s="8"/>
      <c r="B177" s="9">
        <v>177</v>
      </c>
      <c r="C177" s="10" t="s">
        <v>438</v>
      </c>
      <c r="D177" s="10" t="s">
        <v>439</v>
      </c>
    </row>
    <row r="178" spans="1:4" x14ac:dyDescent="0.25">
      <c r="A178" s="8"/>
      <c r="B178" s="9">
        <v>178</v>
      </c>
      <c r="C178" s="10" t="s">
        <v>440</v>
      </c>
      <c r="D178" s="10" t="s">
        <v>441</v>
      </c>
    </row>
    <row r="179" spans="1:4" x14ac:dyDescent="0.25">
      <c r="A179" s="8"/>
      <c r="B179" s="9">
        <v>179</v>
      </c>
      <c r="C179" s="10" t="s">
        <v>442</v>
      </c>
      <c r="D179" s="10" t="s">
        <v>443</v>
      </c>
    </row>
    <row r="180" spans="1:4" x14ac:dyDescent="0.25">
      <c r="A180" s="8"/>
      <c r="B180" s="9">
        <v>180</v>
      </c>
      <c r="C180" s="10" t="s">
        <v>444</v>
      </c>
      <c r="D180" s="10" t="s">
        <v>445</v>
      </c>
    </row>
    <row r="181" spans="1:4" x14ac:dyDescent="0.25">
      <c r="A181" s="8"/>
      <c r="B181" s="9">
        <v>181</v>
      </c>
      <c r="C181" s="10" t="s">
        <v>446</v>
      </c>
      <c r="D181" s="10" t="s">
        <v>447</v>
      </c>
    </row>
    <row r="182" spans="1:4" x14ac:dyDescent="0.25">
      <c r="A182" s="8"/>
      <c r="B182" s="9">
        <v>182</v>
      </c>
      <c r="C182" s="10" t="s">
        <v>448</v>
      </c>
      <c r="D182" s="10" t="s">
        <v>449</v>
      </c>
    </row>
    <row r="183" spans="1:4" x14ac:dyDescent="0.25">
      <c r="A183" s="8"/>
      <c r="B183" s="9">
        <v>183</v>
      </c>
      <c r="C183" s="10" t="s">
        <v>450</v>
      </c>
      <c r="D183" s="10" t="s">
        <v>451</v>
      </c>
    </row>
    <row r="184" spans="1:4" x14ac:dyDescent="0.25">
      <c r="A184" s="8"/>
      <c r="B184" s="9">
        <v>184</v>
      </c>
      <c r="C184" s="10" t="s">
        <v>452</v>
      </c>
      <c r="D184" s="10" t="s">
        <v>453</v>
      </c>
    </row>
    <row r="185" spans="1:4" x14ac:dyDescent="0.25">
      <c r="A185" s="8"/>
      <c r="B185" s="9">
        <v>185</v>
      </c>
      <c r="C185" s="10" t="s">
        <v>454</v>
      </c>
      <c r="D185" s="10" t="s">
        <v>455</v>
      </c>
    </row>
    <row r="186" spans="1:4" x14ac:dyDescent="0.25">
      <c r="A186" s="8"/>
      <c r="B186" s="9">
        <v>186</v>
      </c>
      <c r="C186" s="10" t="s">
        <v>456</v>
      </c>
      <c r="D186" s="10" t="s">
        <v>457</v>
      </c>
    </row>
    <row r="187" spans="1:4" x14ac:dyDescent="0.25">
      <c r="A187" s="8"/>
      <c r="B187" s="9">
        <v>187</v>
      </c>
      <c r="C187" s="10" t="s">
        <v>458</v>
      </c>
      <c r="D187" s="10" t="s">
        <v>459</v>
      </c>
    </row>
    <row r="188" spans="1:4" x14ac:dyDescent="0.25">
      <c r="A188" s="8"/>
      <c r="B188" s="9">
        <v>188</v>
      </c>
      <c r="C188" s="10" t="s">
        <v>460</v>
      </c>
      <c r="D188" s="10" t="s">
        <v>461</v>
      </c>
    </row>
    <row r="189" spans="1:4" x14ac:dyDescent="0.25">
      <c r="A189" s="8"/>
      <c r="B189" s="9">
        <v>189</v>
      </c>
      <c r="C189" s="10" t="s">
        <v>462</v>
      </c>
      <c r="D189" s="10" t="s">
        <v>463</v>
      </c>
    </row>
    <row r="190" spans="1:4" x14ac:dyDescent="0.25">
      <c r="A190" s="8"/>
      <c r="B190" s="9">
        <v>190</v>
      </c>
      <c r="C190" s="10" t="s">
        <v>464</v>
      </c>
      <c r="D190" s="10" t="s">
        <v>465</v>
      </c>
    </row>
    <row r="191" spans="1:4" x14ac:dyDescent="0.25">
      <c r="A191" s="8"/>
      <c r="B191" s="9">
        <v>191</v>
      </c>
      <c r="C191" s="10" t="s">
        <v>466</v>
      </c>
      <c r="D191" s="10" t="s">
        <v>467</v>
      </c>
    </row>
    <row r="192" spans="1:4" x14ac:dyDescent="0.25">
      <c r="A192" s="8"/>
      <c r="B192" s="9">
        <v>192</v>
      </c>
      <c r="C192" s="10" t="s">
        <v>468</v>
      </c>
      <c r="D192" s="10" t="s">
        <v>469</v>
      </c>
    </row>
    <row r="193" spans="1:4" x14ac:dyDescent="0.25">
      <c r="A193" s="8"/>
      <c r="B193" s="9">
        <v>193</v>
      </c>
      <c r="C193" s="10" t="s">
        <v>470</v>
      </c>
      <c r="D193" s="10" t="s">
        <v>471</v>
      </c>
    </row>
    <row r="194" spans="1:4" x14ac:dyDescent="0.25">
      <c r="A194" s="8"/>
      <c r="B194" s="9">
        <v>194</v>
      </c>
      <c r="C194" s="10" t="s">
        <v>472</v>
      </c>
      <c r="D194" s="10" t="s">
        <v>473</v>
      </c>
    </row>
    <row r="195" spans="1:4" x14ac:dyDescent="0.25">
      <c r="A195" s="8"/>
      <c r="B195" s="9">
        <v>195</v>
      </c>
      <c r="C195" s="10" t="s">
        <v>474</v>
      </c>
      <c r="D195" s="10" t="s">
        <v>475</v>
      </c>
    </row>
    <row r="196" spans="1:4" x14ac:dyDescent="0.25">
      <c r="A196" s="8"/>
      <c r="B196" s="9">
        <v>196</v>
      </c>
      <c r="C196" s="10" t="s">
        <v>476</v>
      </c>
      <c r="D196" s="10" t="s">
        <v>477</v>
      </c>
    </row>
    <row r="197" spans="1:4" x14ac:dyDescent="0.25">
      <c r="A197" s="8"/>
      <c r="B197" s="9">
        <v>197</v>
      </c>
      <c r="C197" s="10" t="s">
        <v>478</v>
      </c>
      <c r="D197" s="10" t="s">
        <v>479</v>
      </c>
    </row>
    <row r="198" spans="1:4" x14ac:dyDescent="0.25">
      <c r="A198" s="8"/>
      <c r="B198" s="9">
        <v>198</v>
      </c>
      <c r="C198" s="10" t="s">
        <v>480</v>
      </c>
      <c r="D198" s="10" t="s">
        <v>481</v>
      </c>
    </row>
    <row r="199" spans="1:4" x14ac:dyDescent="0.25">
      <c r="A199" s="8"/>
      <c r="B199" s="9">
        <v>199</v>
      </c>
      <c r="C199" s="10" t="s">
        <v>482</v>
      </c>
      <c r="D199" s="10" t="s">
        <v>483</v>
      </c>
    </row>
    <row r="200" spans="1:4" x14ac:dyDescent="0.25">
      <c r="A200" s="8"/>
      <c r="B200" s="9">
        <v>200</v>
      </c>
      <c r="C200" s="10" t="s">
        <v>484</v>
      </c>
      <c r="D200" s="10" t="s">
        <v>485</v>
      </c>
    </row>
    <row r="201" spans="1:4" x14ac:dyDescent="0.25">
      <c r="A201" s="8"/>
      <c r="B201" s="9">
        <v>201</v>
      </c>
      <c r="C201" s="10" t="s">
        <v>486</v>
      </c>
      <c r="D201" s="10" t="s">
        <v>487</v>
      </c>
    </row>
    <row r="202" spans="1:4" x14ac:dyDescent="0.25">
      <c r="A202" s="8"/>
      <c r="B202" s="9">
        <v>202</v>
      </c>
      <c r="C202" s="10" t="s">
        <v>488</v>
      </c>
      <c r="D202" s="10" t="s">
        <v>489</v>
      </c>
    </row>
    <row r="203" spans="1:4" x14ac:dyDescent="0.25">
      <c r="A203" s="8"/>
      <c r="B203" s="9">
        <v>203</v>
      </c>
      <c r="C203" s="10" t="s">
        <v>490</v>
      </c>
      <c r="D203" s="10" t="s">
        <v>491</v>
      </c>
    </row>
    <row r="204" spans="1:4" x14ac:dyDescent="0.25">
      <c r="A204" s="8"/>
      <c r="B204" s="9">
        <v>204</v>
      </c>
      <c r="C204" s="10" t="s">
        <v>492</v>
      </c>
      <c r="D204" s="10" t="s">
        <v>493</v>
      </c>
    </row>
    <row r="205" spans="1:4" x14ac:dyDescent="0.25">
      <c r="A205" s="8"/>
      <c r="B205" s="9">
        <v>205</v>
      </c>
      <c r="C205" s="10" t="s">
        <v>494</v>
      </c>
      <c r="D205" s="10" t="s">
        <v>495</v>
      </c>
    </row>
    <row r="206" spans="1:4" x14ac:dyDescent="0.25">
      <c r="A206" s="8"/>
      <c r="B206" s="9">
        <v>206</v>
      </c>
      <c r="C206" s="10" t="s">
        <v>496</v>
      </c>
      <c r="D206" s="10" t="s">
        <v>497</v>
      </c>
    </row>
    <row r="207" spans="1:4" x14ac:dyDescent="0.25">
      <c r="A207" s="8"/>
      <c r="B207" s="9">
        <v>207</v>
      </c>
      <c r="C207" s="10" t="s">
        <v>177</v>
      </c>
      <c r="D207" s="10" t="s">
        <v>178</v>
      </c>
    </row>
    <row r="208" spans="1:4" x14ac:dyDescent="0.25">
      <c r="A208" s="8"/>
      <c r="B208" s="9">
        <v>208</v>
      </c>
      <c r="C208" s="10" t="s">
        <v>179</v>
      </c>
      <c r="D208" s="10" t="s">
        <v>180</v>
      </c>
    </row>
    <row r="209" spans="1:4" x14ac:dyDescent="0.25">
      <c r="A209" s="8"/>
      <c r="B209" s="9">
        <v>209</v>
      </c>
      <c r="C209" s="10" t="s">
        <v>498</v>
      </c>
      <c r="D209" s="10" t="s">
        <v>499</v>
      </c>
    </row>
    <row r="210" spans="1:4" x14ac:dyDescent="0.25">
      <c r="A210" s="8"/>
      <c r="B210" s="9">
        <v>210</v>
      </c>
      <c r="C210" s="10" t="s">
        <v>500</v>
      </c>
      <c r="D210" s="10" t="s">
        <v>501</v>
      </c>
    </row>
    <row r="211" spans="1:4" x14ac:dyDescent="0.25">
      <c r="A211" s="8"/>
      <c r="B211" s="9">
        <v>211</v>
      </c>
      <c r="C211" s="10" t="s">
        <v>502</v>
      </c>
      <c r="D211" s="10" t="s">
        <v>503</v>
      </c>
    </row>
    <row r="212" spans="1:4" x14ac:dyDescent="0.25">
      <c r="A212" s="8"/>
      <c r="B212" s="9">
        <v>212</v>
      </c>
      <c r="C212" s="10" t="s">
        <v>504</v>
      </c>
      <c r="D212" s="10" t="s">
        <v>505</v>
      </c>
    </row>
    <row r="213" spans="1:4" x14ac:dyDescent="0.25">
      <c r="A213" s="8"/>
      <c r="B213" s="9">
        <v>213</v>
      </c>
      <c r="C213" s="10" t="s">
        <v>506</v>
      </c>
      <c r="D213" s="10" t="s">
        <v>507</v>
      </c>
    </row>
    <row r="214" spans="1:4" x14ac:dyDescent="0.25">
      <c r="A214" s="8"/>
      <c r="B214" s="9">
        <v>214</v>
      </c>
      <c r="C214" s="10" t="s">
        <v>508</v>
      </c>
      <c r="D214" s="10" t="s">
        <v>509</v>
      </c>
    </row>
    <row r="215" spans="1:4" x14ac:dyDescent="0.25">
      <c r="A215" s="8"/>
      <c r="B215" s="9">
        <v>215</v>
      </c>
      <c r="C215" s="10" t="s">
        <v>510</v>
      </c>
      <c r="D215" s="10" t="s">
        <v>565</v>
      </c>
    </row>
    <row r="216" spans="1:4" x14ac:dyDescent="0.25">
      <c r="A216" s="8"/>
      <c r="B216" s="9">
        <v>216</v>
      </c>
      <c r="C216" s="10" t="s">
        <v>511</v>
      </c>
      <c r="D216" s="10" t="s">
        <v>512</v>
      </c>
    </row>
    <row r="217" spans="1:4" x14ac:dyDescent="0.25">
      <c r="A217" s="8"/>
      <c r="B217" s="9">
        <v>217</v>
      </c>
      <c r="C217" s="10" t="s">
        <v>598</v>
      </c>
      <c r="D217" s="10" t="s">
        <v>535</v>
      </c>
    </row>
    <row r="218" spans="1:4" x14ac:dyDescent="0.25">
      <c r="A218" s="8"/>
      <c r="B218" s="9">
        <v>218</v>
      </c>
      <c r="C218" s="10" t="s">
        <v>513</v>
      </c>
      <c r="D218" s="10" t="s">
        <v>514</v>
      </c>
    </row>
    <row r="219" spans="1:4" x14ac:dyDescent="0.25">
      <c r="A219" s="8"/>
      <c r="B219" s="9">
        <v>219</v>
      </c>
      <c r="C219" s="10" t="s">
        <v>599</v>
      </c>
      <c r="D219" s="10" t="s">
        <v>536</v>
      </c>
    </row>
    <row r="220" spans="1:4" x14ac:dyDescent="0.25">
      <c r="A220" s="8"/>
      <c r="B220" s="9">
        <v>220</v>
      </c>
      <c r="C220" s="10" t="s">
        <v>515</v>
      </c>
      <c r="D220" s="10" t="s">
        <v>516</v>
      </c>
    </row>
    <row r="221" spans="1:4" x14ac:dyDescent="0.25">
      <c r="A221" s="8"/>
      <c r="B221" s="9">
        <v>221</v>
      </c>
      <c r="C221" s="10" t="s">
        <v>517</v>
      </c>
      <c r="D221" s="10" t="s">
        <v>518</v>
      </c>
    </row>
    <row r="222" spans="1:4" x14ac:dyDescent="0.25">
      <c r="A222" s="8"/>
      <c r="B222" s="9">
        <v>222</v>
      </c>
      <c r="C222" s="10" t="s">
        <v>519</v>
      </c>
      <c r="D222" s="10" t="s">
        <v>520</v>
      </c>
    </row>
    <row r="223" spans="1:4" x14ac:dyDescent="0.25">
      <c r="A223" s="8"/>
      <c r="B223" s="9">
        <v>223</v>
      </c>
      <c r="C223" s="10" t="s">
        <v>521</v>
      </c>
      <c r="D223" s="10" t="s">
        <v>522</v>
      </c>
    </row>
    <row r="224" spans="1:4" x14ac:dyDescent="0.25">
      <c r="A224" s="8"/>
      <c r="B224" s="9">
        <v>224</v>
      </c>
      <c r="C224" s="10" t="s">
        <v>523</v>
      </c>
      <c r="D224" s="10" t="s">
        <v>524</v>
      </c>
    </row>
    <row r="225" spans="1:6" x14ac:dyDescent="0.25">
      <c r="A225" s="8"/>
      <c r="B225" s="9">
        <v>225</v>
      </c>
      <c r="C225" s="10" t="s">
        <v>600</v>
      </c>
      <c r="D225" s="10" t="s">
        <v>537</v>
      </c>
    </row>
    <row r="226" spans="1:6" x14ac:dyDescent="0.25">
      <c r="A226" s="8"/>
      <c r="B226" s="9">
        <v>226</v>
      </c>
      <c r="C226" s="10" t="s">
        <v>525</v>
      </c>
      <c r="D226" s="10" t="s">
        <v>526</v>
      </c>
    </row>
    <row r="227" spans="1:6" x14ac:dyDescent="0.25">
      <c r="A227" s="8"/>
      <c r="B227" s="9">
        <v>227</v>
      </c>
      <c r="C227" s="10" t="s">
        <v>527</v>
      </c>
      <c r="D227" s="10" t="s">
        <v>528</v>
      </c>
    </row>
    <row r="228" spans="1:6" x14ac:dyDescent="0.25">
      <c r="A228" s="8"/>
      <c r="B228" s="9">
        <v>228</v>
      </c>
      <c r="C228" s="10" t="s">
        <v>529</v>
      </c>
      <c r="D228" s="10" t="s">
        <v>530</v>
      </c>
    </row>
    <row r="229" spans="1:6" x14ac:dyDescent="0.25">
      <c r="A229" s="8"/>
      <c r="B229" s="9">
        <v>229</v>
      </c>
      <c r="C229" s="10" t="s">
        <v>531</v>
      </c>
      <c r="D229" s="10" t="s">
        <v>532</v>
      </c>
    </row>
    <row r="230" spans="1:6" x14ac:dyDescent="0.25">
      <c r="A230" s="8"/>
      <c r="B230" s="9">
        <v>230</v>
      </c>
      <c r="C230" s="10" t="s">
        <v>533</v>
      </c>
      <c r="D230" s="10" t="s">
        <v>534</v>
      </c>
    </row>
    <row r="231" spans="1:6" x14ac:dyDescent="0.25">
      <c r="A231" s="8"/>
      <c r="B231" s="9">
        <v>231</v>
      </c>
      <c r="C231" s="10" t="s">
        <v>538</v>
      </c>
      <c r="D231" s="10" t="s">
        <v>695</v>
      </c>
    </row>
    <row r="232" spans="1:6" x14ac:dyDescent="0.25">
      <c r="A232" s="8"/>
      <c r="B232" s="9">
        <v>232</v>
      </c>
      <c r="C232" s="12" t="s">
        <v>604</v>
      </c>
      <c r="D232" s="12" t="s">
        <v>539</v>
      </c>
    </row>
    <row r="233" spans="1:6" x14ac:dyDescent="0.25">
      <c r="B233" s="13">
        <v>234</v>
      </c>
      <c r="C233" s="12" t="s">
        <v>605</v>
      </c>
      <c r="D233" s="12" t="s">
        <v>540</v>
      </c>
    </row>
    <row r="234" spans="1:6" x14ac:dyDescent="0.25">
      <c r="B234" s="13">
        <v>235</v>
      </c>
      <c r="C234" s="12" t="s">
        <v>606</v>
      </c>
      <c r="D234" s="12" t="s">
        <v>541</v>
      </c>
    </row>
    <row r="235" spans="1:6" x14ac:dyDescent="0.25">
      <c r="B235" s="13">
        <v>236</v>
      </c>
      <c r="C235" s="12" t="s">
        <v>607</v>
      </c>
      <c r="D235" s="12" t="s">
        <v>542</v>
      </c>
    </row>
    <row r="236" spans="1:6" x14ac:dyDescent="0.25">
      <c r="B236" s="13">
        <v>237</v>
      </c>
      <c r="C236" s="12" t="s">
        <v>608</v>
      </c>
      <c r="D236" s="12" t="s">
        <v>543</v>
      </c>
    </row>
    <row r="237" spans="1:6" x14ac:dyDescent="0.25">
      <c r="B237" s="13">
        <v>238</v>
      </c>
      <c r="C237" s="12" t="s">
        <v>609</v>
      </c>
      <c r="D237" s="12" t="s">
        <v>544</v>
      </c>
      <c r="F237" s="11"/>
    </row>
    <row r="238" spans="1:6" x14ac:dyDescent="0.25">
      <c r="B238" s="13">
        <v>239</v>
      </c>
      <c r="C238" s="12" t="s">
        <v>610</v>
      </c>
      <c r="D238" s="12" t="s">
        <v>545</v>
      </c>
      <c r="F238" s="11"/>
    </row>
    <row r="239" spans="1:6" x14ac:dyDescent="0.25">
      <c r="B239" s="13">
        <v>240</v>
      </c>
      <c r="C239" s="12" t="s">
        <v>611</v>
      </c>
      <c r="D239" s="12" t="s">
        <v>546</v>
      </c>
      <c r="F239" s="11"/>
    </row>
    <row r="240" spans="1:6" x14ac:dyDescent="0.25">
      <c r="B240" s="13">
        <v>242</v>
      </c>
      <c r="C240" s="12" t="s">
        <v>612</v>
      </c>
      <c r="D240" s="12" t="s">
        <v>547</v>
      </c>
    </row>
    <row r="241" spans="2:6" x14ac:dyDescent="0.25">
      <c r="B241" s="13">
        <v>243</v>
      </c>
      <c r="C241" s="12" t="s">
        <v>613</v>
      </c>
      <c r="D241" s="12" t="s">
        <v>548</v>
      </c>
      <c r="F241" s="11"/>
    </row>
    <row r="242" spans="2:6" x14ac:dyDescent="0.25">
      <c r="B242" s="13">
        <v>244</v>
      </c>
      <c r="C242" s="12" t="s">
        <v>549</v>
      </c>
      <c r="D242" s="12" t="s">
        <v>550</v>
      </c>
    </row>
    <row r="243" spans="2:6" x14ac:dyDescent="0.25">
      <c r="B243" s="13">
        <v>245</v>
      </c>
      <c r="C243" s="12" t="s">
        <v>614</v>
      </c>
      <c r="D243" s="12" t="s">
        <v>551</v>
      </c>
      <c r="F243" s="11"/>
    </row>
    <row r="244" spans="2:6" x14ac:dyDescent="0.25">
      <c r="B244" s="13">
        <v>246</v>
      </c>
      <c r="C244" s="12" t="s">
        <v>615</v>
      </c>
      <c r="D244" s="12" t="s">
        <v>552</v>
      </c>
    </row>
    <row r="245" spans="2:6" x14ac:dyDescent="0.25">
      <c r="B245" s="13">
        <v>247</v>
      </c>
      <c r="C245" s="12" t="s">
        <v>616</v>
      </c>
      <c r="D245" s="12" t="s">
        <v>553</v>
      </c>
    </row>
    <row r="246" spans="2:6" x14ac:dyDescent="0.25">
      <c r="B246" s="13">
        <v>248</v>
      </c>
      <c r="C246" s="12" t="s">
        <v>617</v>
      </c>
      <c r="D246" s="12" t="s">
        <v>554</v>
      </c>
    </row>
    <row r="247" spans="2:6" x14ac:dyDescent="0.25">
      <c r="B247" s="13">
        <v>250</v>
      </c>
      <c r="C247" s="12" t="s">
        <v>555</v>
      </c>
      <c r="D247" s="12" t="s">
        <v>556</v>
      </c>
      <c r="F247" s="11"/>
    </row>
    <row r="248" spans="2:6" x14ac:dyDescent="0.25">
      <c r="B248" s="13">
        <v>251</v>
      </c>
      <c r="C248" s="12" t="s">
        <v>557</v>
      </c>
      <c r="D248" s="12" t="s">
        <v>558</v>
      </c>
    </row>
    <row r="249" spans="2:6" x14ac:dyDescent="0.25">
      <c r="B249" s="13">
        <v>252</v>
      </c>
      <c r="C249" s="12" t="s">
        <v>559</v>
      </c>
      <c r="D249" s="12" t="s">
        <v>560</v>
      </c>
    </row>
    <row r="250" spans="2:6" x14ac:dyDescent="0.25">
      <c r="B250" s="13">
        <v>253</v>
      </c>
      <c r="C250" s="12" t="s">
        <v>561</v>
      </c>
      <c r="D250" s="12" t="s">
        <v>562</v>
      </c>
    </row>
    <row r="251" spans="2:6" x14ac:dyDescent="0.25">
      <c r="B251" s="13">
        <v>254</v>
      </c>
      <c r="C251" s="12" t="s">
        <v>563</v>
      </c>
      <c r="D251" s="12" t="s">
        <v>564</v>
      </c>
      <c r="F251" s="11"/>
    </row>
    <row r="252" spans="2:6" x14ac:dyDescent="0.25">
      <c r="B252" s="13">
        <v>255</v>
      </c>
      <c r="C252" s="12" t="s">
        <v>693</v>
      </c>
      <c r="D252" s="12" t="s">
        <v>692</v>
      </c>
      <c r="F252" s="11"/>
    </row>
    <row r="253" spans="2:6" x14ac:dyDescent="0.25">
      <c r="B253" s="22"/>
      <c r="C253" s="22"/>
      <c r="D253" s="22"/>
    </row>
    <row r="254" spans="2:6" x14ac:dyDescent="0.25">
      <c r="B254" s="22"/>
      <c r="C254" s="22"/>
      <c r="D254" s="22"/>
    </row>
    <row r="255" spans="2:6" x14ac:dyDescent="0.25">
      <c r="B255" s="22"/>
      <c r="C255" s="22"/>
      <c r="D255" s="22"/>
    </row>
    <row r="256" spans="2:6" x14ac:dyDescent="0.25">
      <c r="B256" s="22"/>
      <c r="C256" s="22"/>
      <c r="D256" s="22"/>
    </row>
    <row r="257" spans="2:4" x14ac:dyDescent="0.25">
      <c r="B257" s="22"/>
      <c r="C257" s="22"/>
      <c r="D257" s="22"/>
    </row>
    <row r="258" spans="2:4" x14ac:dyDescent="0.25">
      <c r="B258" s="22"/>
      <c r="C258" s="22"/>
      <c r="D258" s="22"/>
    </row>
    <row r="259" spans="2:4" x14ac:dyDescent="0.25">
      <c r="B259" s="22"/>
      <c r="C259" s="22"/>
      <c r="D259" s="22"/>
    </row>
    <row r="260" spans="2:4" x14ac:dyDescent="0.25">
      <c r="B260" s="22"/>
      <c r="C260" s="22"/>
      <c r="D260" s="22"/>
    </row>
    <row r="261" spans="2:4" x14ac:dyDescent="0.25">
      <c r="B261" s="22"/>
      <c r="C261" s="22"/>
      <c r="D261" s="22"/>
    </row>
    <row r="262" spans="2:4" x14ac:dyDescent="0.25">
      <c r="B262" s="22"/>
      <c r="C262" s="22"/>
      <c r="D262" s="22"/>
    </row>
    <row r="263" spans="2:4" x14ac:dyDescent="0.25">
      <c r="B263" s="22"/>
      <c r="C263" s="22"/>
      <c r="D263" s="22"/>
    </row>
  </sheetData>
  <sortState xmlns:xlrd2="http://schemas.microsoft.com/office/spreadsheetml/2017/richdata2" ref="B2:D251">
    <sortCondition ref="B2:B25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3"/>
  <sheetViews>
    <sheetView topLeftCell="A60" workbookViewId="0">
      <selection activeCell="D102" sqref="D102"/>
    </sheetView>
  </sheetViews>
  <sheetFormatPr defaultRowHeight="14.4" x14ac:dyDescent="0.25"/>
  <cols>
    <col min="1" max="1" width="3.33203125" customWidth="1"/>
    <col min="2" max="2" width="6.33203125" customWidth="1"/>
    <col min="3" max="3" width="19.109375" customWidth="1"/>
    <col min="4" max="4" width="74.6640625" customWidth="1"/>
  </cols>
  <sheetData>
    <row r="1" spans="1:6" x14ac:dyDescent="0.25">
      <c r="A1" s="8"/>
      <c r="B1" s="8">
        <v>251</v>
      </c>
      <c r="C1" s="8"/>
      <c r="D1" s="8" t="s">
        <v>691</v>
      </c>
      <c r="F1" t="s">
        <v>601</v>
      </c>
    </row>
    <row r="2" spans="1:6" x14ac:dyDescent="0.25">
      <c r="A2" s="8"/>
      <c r="B2" s="9">
        <v>1</v>
      </c>
      <c r="C2" s="10" t="s">
        <v>568</v>
      </c>
      <c r="D2" s="10" t="s">
        <v>268</v>
      </c>
      <c r="F2" s="9">
        <v>231</v>
      </c>
    </row>
    <row r="3" spans="1:6" x14ac:dyDescent="0.25">
      <c r="A3" s="8"/>
      <c r="B3" s="9">
        <v>2</v>
      </c>
      <c r="C3" s="10" t="s">
        <v>569</v>
      </c>
      <c r="D3" s="10" t="s">
        <v>269</v>
      </c>
      <c r="F3" s="9">
        <v>21</v>
      </c>
    </row>
    <row r="4" spans="1:6" x14ac:dyDescent="0.25">
      <c r="A4" s="8"/>
      <c r="B4" s="9">
        <v>3</v>
      </c>
      <c r="C4" s="10" t="s">
        <v>570</v>
      </c>
      <c r="D4" s="10" t="s">
        <v>270</v>
      </c>
      <c r="F4" s="9">
        <v>27</v>
      </c>
    </row>
    <row r="5" spans="1:6" x14ac:dyDescent="0.25">
      <c r="A5" s="8"/>
      <c r="B5" s="9">
        <v>4</v>
      </c>
      <c r="C5" s="10" t="s">
        <v>181</v>
      </c>
      <c r="D5" s="10" t="s">
        <v>182</v>
      </c>
      <c r="F5" s="9">
        <v>209</v>
      </c>
    </row>
    <row r="6" spans="1:6" x14ac:dyDescent="0.25">
      <c r="A6" s="8"/>
      <c r="B6" s="9">
        <v>5</v>
      </c>
      <c r="C6" s="10" t="s">
        <v>183</v>
      </c>
      <c r="D6" s="10" t="s">
        <v>184</v>
      </c>
      <c r="F6" s="9">
        <v>210</v>
      </c>
    </row>
    <row r="7" spans="1:6" x14ac:dyDescent="0.25">
      <c r="A7" s="8"/>
      <c r="B7" s="9">
        <v>6</v>
      </c>
      <c r="C7" s="10" t="s">
        <v>185</v>
      </c>
      <c r="D7" s="10" t="s">
        <v>186</v>
      </c>
      <c r="F7" s="9">
        <v>14</v>
      </c>
    </row>
    <row r="8" spans="1:6" x14ac:dyDescent="0.25">
      <c r="A8" s="8"/>
      <c r="B8" s="9">
        <v>7</v>
      </c>
      <c r="C8" s="10" t="s">
        <v>187</v>
      </c>
      <c r="D8" s="10" t="s">
        <v>188</v>
      </c>
      <c r="F8" s="9">
        <v>148</v>
      </c>
    </row>
    <row r="9" spans="1:6" x14ac:dyDescent="0.25">
      <c r="A9" s="8"/>
      <c r="B9" s="9">
        <v>8</v>
      </c>
      <c r="C9" s="10" t="s">
        <v>189</v>
      </c>
      <c r="D9" s="10" t="s">
        <v>190</v>
      </c>
      <c r="F9" s="9">
        <v>51</v>
      </c>
    </row>
    <row r="10" spans="1:6" x14ac:dyDescent="0.25">
      <c r="A10" s="8"/>
      <c r="B10" s="9">
        <v>9</v>
      </c>
      <c r="C10" s="10" t="s">
        <v>191</v>
      </c>
      <c r="D10" s="10" t="s">
        <v>694</v>
      </c>
      <c r="F10" s="9">
        <v>52</v>
      </c>
    </row>
    <row r="11" spans="1:6" x14ac:dyDescent="0.25">
      <c r="A11" s="8"/>
      <c r="B11" s="9">
        <v>10</v>
      </c>
      <c r="C11" s="10" t="s">
        <v>192</v>
      </c>
      <c r="D11" s="10" t="s">
        <v>193</v>
      </c>
      <c r="F11" s="9">
        <v>160</v>
      </c>
    </row>
    <row r="12" spans="1:6" x14ac:dyDescent="0.25">
      <c r="A12" s="8"/>
      <c r="B12" s="9">
        <v>11</v>
      </c>
      <c r="C12" s="10" t="s">
        <v>194</v>
      </c>
      <c r="D12" s="10" t="s">
        <v>195</v>
      </c>
      <c r="F12" s="9">
        <v>161</v>
      </c>
    </row>
    <row r="13" spans="1:6" x14ac:dyDescent="0.25">
      <c r="A13" s="8"/>
      <c r="B13" s="9">
        <v>12</v>
      </c>
      <c r="C13" s="10" t="s">
        <v>159</v>
      </c>
      <c r="D13" s="10" t="s">
        <v>160</v>
      </c>
      <c r="F13" s="9">
        <v>150</v>
      </c>
    </row>
    <row r="14" spans="1:6" x14ac:dyDescent="0.25">
      <c r="A14" s="8"/>
      <c r="B14" s="9">
        <v>13</v>
      </c>
      <c r="C14" s="10" t="s">
        <v>161</v>
      </c>
      <c r="D14" s="10" t="s">
        <v>162</v>
      </c>
      <c r="F14" s="9">
        <v>152</v>
      </c>
    </row>
    <row r="15" spans="1:6" x14ac:dyDescent="0.25">
      <c r="A15" s="8"/>
      <c r="B15" s="9">
        <v>14</v>
      </c>
      <c r="C15" s="10" t="s">
        <v>196</v>
      </c>
      <c r="D15" s="10" t="s">
        <v>197</v>
      </c>
      <c r="F15" s="9">
        <v>153</v>
      </c>
    </row>
    <row r="16" spans="1:6" x14ac:dyDescent="0.25">
      <c r="A16" s="8"/>
      <c r="B16" s="9">
        <v>15</v>
      </c>
      <c r="C16" s="10" t="s">
        <v>198</v>
      </c>
      <c r="D16" s="10" t="s">
        <v>199</v>
      </c>
      <c r="F16" s="9">
        <v>154</v>
      </c>
    </row>
    <row r="17" spans="1:6" x14ac:dyDescent="0.25">
      <c r="A17" s="8"/>
      <c r="B17" s="9">
        <v>16</v>
      </c>
      <c r="C17" s="10" t="s">
        <v>131</v>
      </c>
      <c r="D17" s="10" t="s">
        <v>132</v>
      </c>
      <c r="F17" s="9">
        <v>165</v>
      </c>
    </row>
    <row r="18" spans="1:6" x14ac:dyDescent="0.25">
      <c r="A18" s="8"/>
      <c r="B18" s="9">
        <v>17</v>
      </c>
      <c r="C18" s="10" t="s">
        <v>133</v>
      </c>
      <c r="D18" s="10" t="s">
        <v>134</v>
      </c>
      <c r="F18" s="9">
        <v>181</v>
      </c>
    </row>
    <row r="19" spans="1:6" x14ac:dyDescent="0.25">
      <c r="A19" s="8"/>
      <c r="B19" s="9">
        <v>18</v>
      </c>
      <c r="C19" s="10" t="s">
        <v>200</v>
      </c>
      <c r="D19" s="10" t="s">
        <v>201</v>
      </c>
      <c r="F19" s="9">
        <v>85</v>
      </c>
    </row>
    <row r="20" spans="1:6" x14ac:dyDescent="0.25">
      <c r="A20" s="8"/>
      <c r="B20" s="9">
        <v>19</v>
      </c>
      <c r="C20" s="10" t="s">
        <v>135</v>
      </c>
      <c r="D20" s="10" t="s">
        <v>136</v>
      </c>
      <c r="F20" s="9">
        <v>86</v>
      </c>
    </row>
    <row r="21" spans="1:6" x14ac:dyDescent="0.25">
      <c r="A21" s="8"/>
      <c r="B21" s="9">
        <v>20</v>
      </c>
      <c r="C21" s="10" t="s">
        <v>137</v>
      </c>
      <c r="D21" s="10" t="s">
        <v>138</v>
      </c>
      <c r="F21" s="9">
        <v>22</v>
      </c>
    </row>
    <row r="22" spans="1:6" x14ac:dyDescent="0.25">
      <c r="A22" s="8"/>
      <c r="B22" s="9">
        <v>21</v>
      </c>
      <c r="C22" s="10" t="s">
        <v>567</v>
      </c>
      <c r="D22" s="10" t="s">
        <v>566</v>
      </c>
      <c r="F22" s="9">
        <v>23</v>
      </c>
    </row>
    <row r="23" spans="1:6" x14ac:dyDescent="0.25">
      <c r="A23" s="8"/>
      <c r="B23" s="9">
        <v>22</v>
      </c>
      <c r="C23" s="10" t="s">
        <v>202</v>
      </c>
      <c r="D23" s="10" t="s">
        <v>203</v>
      </c>
      <c r="F23" s="9">
        <v>25</v>
      </c>
    </row>
    <row r="24" spans="1:6" x14ac:dyDescent="0.25">
      <c r="A24" s="8"/>
      <c r="B24" s="9">
        <v>23</v>
      </c>
      <c r="C24" s="10" t="s">
        <v>204</v>
      </c>
      <c r="D24" s="10" t="s">
        <v>205</v>
      </c>
      <c r="F24" s="9">
        <v>26</v>
      </c>
    </row>
    <row r="25" spans="1:6" x14ac:dyDescent="0.25">
      <c r="A25" s="8"/>
      <c r="B25" s="9">
        <v>25</v>
      </c>
      <c r="C25" s="10" t="s">
        <v>206</v>
      </c>
      <c r="D25" s="10" t="s">
        <v>207</v>
      </c>
      <c r="F25" s="9">
        <v>216</v>
      </c>
    </row>
    <row r="26" spans="1:6" x14ac:dyDescent="0.25">
      <c r="A26" s="8"/>
      <c r="B26" s="9">
        <v>26</v>
      </c>
      <c r="C26" s="10" t="s">
        <v>208</v>
      </c>
      <c r="D26" s="10" t="s">
        <v>209</v>
      </c>
      <c r="F26" s="9">
        <v>218</v>
      </c>
    </row>
    <row r="27" spans="1:6" x14ac:dyDescent="0.25">
      <c r="A27" s="8"/>
      <c r="B27" s="9">
        <v>27</v>
      </c>
      <c r="C27" s="10" t="s">
        <v>210</v>
      </c>
      <c r="D27" s="10" t="s">
        <v>211</v>
      </c>
      <c r="F27" s="9">
        <v>107</v>
      </c>
    </row>
    <row r="28" spans="1:6" x14ac:dyDescent="0.25">
      <c r="A28" s="8"/>
      <c r="B28" s="9">
        <v>28</v>
      </c>
      <c r="C28" s="10" t="s">
        <v>139</v>
      </c>
      <c r="D28" s="10" t="s">
        <v>140</v>
      </c>
      <c r="F28" s="9">
        <v>106</v>
      </c>
    </row>
    <row r="29" spans="1:6" x14ac:dyDescent="0.25">
      <c r="A29" s="8"/>
      <c r="B29" s="9">
        <v>29</v>
      </c>
      <c r="C29" s="10" t="s">
        <v>163</v>
      </c>
      <c r="D29" s="10" t="s">
        <v>164</v>
      </c>
      <c r="F29" s="9">
        <v>108</v>
      </c>
    </row>
    <row r="30" spans="1:6" x14ac:dyDescent="0.25">
      <c r="A30" s="8"/>
      <c r="B30" s="9">
        <v>30</v>
      </c>
      <c r="C30" s="10" t="s">
        <v>212</v>
      </c>
      <c r="D30" s="10" t="s">
        <v>213</v>
      </c>
      <c r="F30" s="9">
        <v>221</v>
      </c>
    </row>
    <row r="31" spans="1:6" x14ac:dyDescent="0.25">
      <c r="A31" s="8"/>
      <c r="B31" s="9">
        <v>31</v>
      </c>
      <c r="C31" s="10" t="s">
        <v>214</v>
      </c>
      <c r="D31" s="10" t="s">
        <v>215</v>
      </c>
      <c r="F31" s="9">
        <v>222</v>
      </c>
    </row>
    <row r="32" spans="1:6" x14ac:dyDescent="0.25">
      <c r="A32" s="8"/>
      <c r="B32" s="9">
        <v>32</v>
      </c>
      <c r="C32" s="10" t="s">
        <v>216</v>
      </c>
      <c r="D32" s="10" t="s">
        <v>217</v>
      </c>
      <c r="F32" s="9">
        <v>224</v>
      </c>
    </row>
    <row r="33" spans="1:6" x14ac:dyDescent="0.25">
      <c r="A33" s="8"/>
      <c r="B33" s="9">
        <v>33</v>
      </c>
      <c r="C33" s="27" t="s">
        <v>707</v>
      </c>
      <c r="D33" s="27" t="s">
        <v>706</v>
      </c>
      <c r="F33" s="9">
        <v>225</v>
      </c>
    </row>
    <row r="34" spans="1:6" x14ac:dyDescent="0.25">
      <c r="A34" s="8"/>
      <c r="B34" s="9">
        <v>34</v>
      </c>
      <c r="C34" s="10" t="s">
        <v>141</v>
      </c>
      <c r="D34" s="10" t="s">
        <v>142</v>
      </c>
      <c r="F34" s="9">
        <v>226</v>
      </c>
    </row>
    <row r="35" spans="1:6" x14ac:dyDescent="0.25">
      <c r="A35" s="8"/>
      <c r="B35" s="9">
        <v>35</v>
      </c>
      <c r="C35" s="10" t="s">
        <v>143</v>
      </c>
      <c r="D35" s="10" t="s">
        <v>144</v>
      </c>
      <c r="F35" s="9">
        <v>227</v>
      </c>
    </row>
    <row r="36" spans="1:6" x14ac:dyDescent="0.25">
      <c r="A36" s="8"/>
      <c r="B36" s="9">
        <v>36</v>
      </c>
      <c r="C36" s="27" t="s">
        <v>704</v>
      </c>
      <c r="D36" s="27" t="s">
        <v>705</v>
      </c>
      <c r="F36" s="9">
        <v>228</v>
      </c>
    </row>
    <row r="37" spans="1:6" x14ac:dyDescent="0.25">
      <c r="A37" s="8"/>
      <c r="B37" s="9">
        <v>37</v>
      </c>
      <c r="C37" s="27" t="s">
        <v>708</v>
      </c>
      <c r="D37" s="27" t="s">
        <v>709</v>
      </c>
      <c r="F37" s="9">
        <v>230</v>
      </c>
    </row>
    <row r="38" spans="1:6" x14ac:dyDescent="0.25">
      <c r="A38" s="8"/>
      <c r="B38" s="9">
        <v>38</v>
      </c>
      <c r="C38" s="10" t="s">
        <v>145</v>
      </c>
      <c r="D38" s="10" t="s">
        <v>146</v>
      </c>
      <c r="F38" s="9">
        <v>81</v>
      </c>
    </row>
    <row r="39" spans="1:6" x14ac:dyDescent="0.25">
      <c r="A39" s="8"/>
      <c r="B39" s="9">
        <v>39</v>
      </c>
      <c r="C39" s="10" t="s">
        <v>218</v>
      </c>
      <c r="D39" s="10" t="s">
        <v>219</v>
      </c>
      <c r="F39" s="9">
        <v>82</v>
      </c>
    </row>
    <row r="40" spans="1:6" x14ac:dyDescent="0.25">
      <c r="A40" s="8"/>
      <c r="B40" s="9">
        <v>40</v>
      </c>
      <c r="C40" s="10" t="s">
        <v>147</v>
      </c>
      <c r="D40" s="10" t="s">
        <v>148</v>
      </c>
      <c r="F40" s="9">
        <v>83</v>
      </c>
    </row>
    <row r="41" spans="1:6" x14ac:dyDescent="0.25">
      <c r="A41" s="8"/>
      <c r="B41" s="9">
        <v>41</v>
      </c>
      <c r="C41" s="10" t="s">
        <v>220</v>
      </c>
      <c r="D41" s="10" t="s">
        <v>221</v>
      </c>
      <c r="F41" s="9">
        <v>84</v>
      </c>
    </row>
    <row r="42" spans="1:6" x14ac:dyDescent="0.25">
      <c r="A42" s="8"/>
      <c r="B42" s="9">
        <v>42</v>
      </c>
      <c r="C42" s="10" t="s">
        <v>222</v>
      </c>
      <c r="D42" s="10" t="s">
        <v>223</v>
      </c>
      <c r="F42" s="13">
        <v>255</v>
      </c>
    </row>
    <row r="43" spans="1:6" x14ac:dyDescent="0.25">
      <c r="A43" s="8"/>
      <c r="B43" s="9">
        <v>43</v>
      </c>
      <c r="C43" s="10" t="s">
        <v>224</v>
      </c>
      <c r="D43" s="10" t="s">
        <v>225</v>
      </c>
    </row>
    <row r="44" spans="1:6" x14ac:dyDescent="0.25">
      <c r="A44" s="8"/>
      <c r="B44" s="9">
        <v>44</v>
      </c>
      <c r="C44" s="10" t="s">
        <v>226</v>
      </c>
      <c r="D44" s="10" t="s">
        <v>227</v>
      </c>
      <c r="F44" s="11"/>
    </row>
    <row r="45" spans="1:6" x14ac:dyDescent="0.25">
      <c r="A45" s="8"/>
      <c r="B45" s="9">
        <v>45</v>
      </c>
      <c r="C45" s="10" t="s">
        <v>228</v>
      </c>
      <c r="D45" s="10" t="s">
        <v>229</v>
      </c>
      <c r="F45" s="11"/>
    </row>
    <row r="46" spans="1:6" x14ac:dyDescent="0.25">
      <c r="A46" s="8"/>
      <c r="B46" s="9">
        <v>46</v>
      </c>
      <c r="C46" s="10" t="s">
        <v>165</v>
      </c>
      <c r="D46" s="10" t="s">
        <v>166</v>
      </c>
      <c r="F46" s="11"/>
    </row>
    <row r="47" spans="1:6" x14ac:dyDescent="0.25">
      <c r="A47" s="8"/>
      <c r="B47" s="9">
        <v>47</v>
      </c>
      <c r="C47" s="10" t="s">
        <v>129</v>
      </c>
      <c r="D47" s="10" t="s">
        <v>130</v>
      </c>
      <c r="F47" s="11"/>
    </row>
    <row r="48" spans="1:6" x14ac:dyDescent="0.25">
      <c r="A48" s="8"/>
      <c r="B48" s="9">
        <v>48</v>
      </c>
      <c r="C48" s="27" t="s">
        <v>700</v>
      </c>
      <c r="D48" s="27" t="s">
        <v>701</v>
      </c>
      <c r="F48" s="11"/>
    </row>
    <row r="49" spans="1:6" x14ac:dyDescent="0.25">
      <c r="A49" s="8"/>
      <c r="B49" s="9">
        <v>49</v>
      </c>
      <c r="C49" s="27" t="s">
        <v>703</v>
      </c>
      <c r="D49" s="27" t="s">
        <v>702</v>
      </c>
      <c r="F49" s="11"/>
    </row>
    <row r="50" spans="1:6" x14ac:dyDescent="0.25">
      <c r="A50" s="8"/>
      <c r="B50" s="9">
        <v>50</v>
      </c>
      <c r="C50" s="10" t="s">
        <v>149</v>
      </c>
      <c r="D50" s="10" t="s">
        <v>150</v>
      </c>
      <c r="F50" s="11"/>
    </row>
    <row r="51" spans="1:6" x14ac:dyDescent="0.25">
      <c r="A51" s="8"/>
      <c r="B51" s="9">
        <v>51</v>
      </c>
      <c r="C51" s="10" t="s">
        <v>230</v>
      </c>
      <c r="D51" s="10" t="s">
        <v>231</v>
      </c>
      <c r="F51" s="11"/>
    </row>
    <row r="52" spans="1:6" x14ac:dyDescent="0.25">
      <c r="A52" s="8"/>
      <c r="B52" s="9">
        <v>52</v>
      </c>
      <c r="C52" s="10" t="s">
        <v>232</v>
      </c>
      <c r="D52" s="10" t="s">
        <v>233</v>
      </c>
      <c r="F52" s="11"/>
    </row>
    <row r="53" spans="1:6" x14ac:dyDescent="0.25">
      <c r="A53" s="8"/>
      <c r="B53" s="9">
        <v>53</v>
      </c>
      <c r="C53" s="10" t="s">
        <v>234</v>
      </c>
      <c r="D53" s="10" t="s">
        <v>235</v>
      </c>
      <c r="F53" s="11"/>
    </row>
    <row r="54" spans="1:6" x14ac:dyDescent="0.25">
      <c r="A54" s="8"/>
      <c r="B54" s="9">
        <v>54</v>
      </c>
      <c r="C54" s="10" t="s">
        <v>236</v>
      </c>
      <c r="D54" s="10" t="s">
        <v>237</v>
      </c>
      <c r="F54" s="11"/>
    </row>
    <row r="55" spans="1:6" x14ac:dyDescent="0.25">
      <c r="A55" s="8"/>
      <c r="B55" s="9">
        <v>55</v>
      </c>
      <c r="C55" s="10" t="s">
        <v>151</v>
      </c>
      <c r="D55" s="10" t="s">
        <v>152</v>
      </c>
      <c r="F55" s="11"/>
    </row>
    <row r="56" spans="1:6" x14ac:dyDescent="0.25">
      <c r="A56" s="8"/>
      <c r="B56" s="9">
        <v>56</v>
      </c>
      <c r="C56" s="10" t="s">
        <v>153</v>
      </c>
      <c r="D56" s="10" t="s">
        <v>154</v>
      </c>
      <c r="F56" s="11"/>
    </row>
    <row r="57" spans="1:6" x14ac:dyDescent="0.25">
      <c r="A57" s="8"/>
      <c r="B57" s="9">
        <v>57</v>
      </c>
      <c r="C57" s="10" t="s">
        <v>167</v>
      </c>
      <c r="D57" s="10" t="s">
        <v>168</v>
      </c>
      <c r="F57" s="11"/>
    </row>
    <row r="58" spans="1:6" x14ac:dyDescent="0.25">
      <c r="A58" s="8"/>
      <c r="B58" s="9">
        <v>58</v>
      </c>
      <c r="C58" s="10" t="s">
        <v>169</v>
      </c>
      <c r="D58" s="10" t="s">
        <v>170</v>
      </c>
      <c r="F58" s="11"/>
    </row>
    <row r="59" spans="1:6" x14ac:dyDescent="0.25">
      <c r="A59" s="8"/>
      <c r="B59" s="9">
        <v>59</v>
      </c>
      <c r="C59" s="28" t="s">
        <v>712</v>
      </c>
      <c r="D59" s="27" t="s">
        <v>711</v>
      </c>
      <c r="F59" s="11"/>
    </row>
    <row r="60" spans="1:6" x14ac:dyDescent="0.25">
      <c r="A60" s="8"/>
      <c r="B60" s="9">
        <v>60</v>
      </c>
      <c r="C60" s="10" t="s">
        <v>155</v>
      </c>
      <c r="D60" s="10" t="s">
        <v>156</v>
      </c>
      <c r="F60" s="11"/>
    </row>
    <row r="61" spans="1:6" x14ac:dyDescent="0.25">
      <c r="A61" s="8"/>
      <c r="B61" s="9">
        <v>61</v>
      </c>
      <c r="C61" s="10" t="s">
        <v>238</v>
      </c>
      <c r="D61" s="10" t="s">
        <v>239</v>
      </c>
      <c r="F61" s="11"/>
    </row>
    <row r="62" spans="1:6" x14ac:dyDescent="0.25">
      <c r="A62" s="8"/>
      <c r="B62" s="9">
        <v>62</v>
      </c>
      <c r="C62" s="10" t="s">
        <v>240</v>
      </c>
      <c r="D62" s="10" t="s">
        <v>241</v>
      </c>
      <c r="F62" s="11"/>
    </row>
    <row r="63" spans="1:6" x14ac:dyDescent="0.25">
      <c r="A63" s="8"/>
      <c r="B63" s="9">
        <v>63</v>
      </c>
      <c r="C63" s="10" t="s">
        <v>242</v>
      </c>
      <c r="D63" s="10" t="s">
        <v>243</v>
      </c>
      <c r="F63" s="11"/>
    </row>
    <row r="64" spans="1:6" x14ac:dyDescent="0.25">
      <c r="A64" s="8"/>
      <c r="B64" s="9">
        <v>64</v>
      </c>
      <c r="C64" s="10" t="s">
        <v>244</v>
      </c>
      <c r="D64" s="10" t="s">
        <v>245</v>
      </c>
      <c r="F64" s="11"/>
    </row>
    <row r="65" spans="1:6" x14ac:dyDescent="0.25">
      <c r="A65" s="8"/>
      <c r="B65" s="9">
        <v>65</v>
      </c>
      <c r="C65" s="10" t="s">
        <v>246</v>
      </c>
      <c r="D65" s="10" t="s">
        <v>247</v>
      </c>
      <c r="F65" s="11"/>
    </row>
    <row r="66" spans="1:6" x14ac:dyDescent="0.25">
      <c r="A66" s="8"/>
      <c r="B66" s="9">
        <v>66</v>
      </c>
      <c r="C66" s="10" t="s">
        <v>248</v>
      </c>
      <c r="D66" s="10" t="s">
        <v>249</v>
      </c>
      <c r="F66" s="11"/>
    </row>
    <row r="67" spans="1:6" x14ac:dyDescent="0.25">
      <c r="A67" s="8"/>
      <c r="B67" s="9">
        <v>67</v>
      </c>
      <c r="C67" s="10" t="s">
        <v>250</v>
      </c>
      <c r="D67" s="10" t="s">
        <v>251</v>
      </c>
      <c r="F67" s="11"/>
    </row>
    <row r="68" spans="1:6" x14ac:dyDescent="0.25">
      <c r="A68" s="8"/>
      <c r="B68" s="9">
        <v>68</v>
      </c>
      <c r="C68" s="10" t="s">
        <v>252</v>
      </c>
      <c r="D68" s="10" t="s">
        <v>253</v>
      </c>
      <c r="F68" s="11"/>
    </row>
    <row r="69" spans="1:6" x14ac:dyDescent="0.25">
      <c r="A69" s="8"/>
      <c r="B69" s="9">
        <v>69</v>
      </c>
      <c r="C69" s="10" t="s">
        <v>254</v>
      </c>
      <c r="D69" s="10" t="s">
        <v>255</v>
      </c>
      <c r="F69" s="11"/>
    </row>
    <row r="70" spans="1:6" x14ac:dyDescent="0.25">
      <c r="A70" s="8"/>
      <c r="B70" s="9">
        <v>70</v>
      </c>
      <c r="C70" s="10" t="s">
        <v>256</v>
      </c>
      <c r="D70" s="10" t="s">
        <v>257</v>
      </c>
      <c r="F70" s="11"/>
    </row>
    <row r="71" spans="1:6" x14ac:dyDescent="0.25">
      <c r="A71" s="8"/>
      <c r="B71" s="9">
        <v>71</v>
      </c>
      <c r="C71" s="10" t="s">
        <v>258</v>
      </c>
      <c r="D71" s="10" t="s">
        <v>259</v>
      </c>
      <c r="F71" s="11"/>
    </row>
    <row r="72" spans="1:6" x14ac:dyDescent="0.25">
      <c r="A72" s="8"/>
      <c r="B72" s="9">
        <v>72</v>
      </c>
      <c r="C72" s="10" t="s">
        <v>260</v>
      </c>
      <c r="D72" s="10" t="s">
        <v>261</v>
      </c>
      <c r="F72" s="11"/>
    </row>
    <row r="73" spans="1:6" x14ac:dyDescent="0.25">
      <c r="A73" s="8"/>
      <c r="B73" s="9">
        <v>73</v>
      </c>
      <c r="C73" s="10" t="s">
        <v>262</v>
      </c>
      <c r="D73" s="10" t="s">
        <v>263</v>
      </c>
    </row>
    <row r="74" spans="1:6" x14ac:dyDescent="0.25">
      <c r="A74" s="8"/>
      <c r="B74" s="9">
        <v>74</v>
      </c>
      <c r="C74" s="10" t="s">
        <v>264</v>
      </c>
      <c r="D74" s="10" t="s">
        <v>265</v>
      </c>
    </row>
    <row r="75" spans="1:6" x14ac:dyDescent="0.25">
      <c r="A75" s="8"/>
      <c r="B75" s="9">
        <v>75</v>
      </c>
      <c r="C75" s="10" t="s">
        <v>266</v>
      </c>
      <c r="D75" s="10" t="s">
        <v>267</v>
      </c>
    </row>
    <row r="76" spans="1:6" x14ac:dyDescent="0.25">
      <c r="A76" s="8"/>
      <c r="B76" s="9">
        <v>76</v>
      </c>
      <c r="C76" s="10" t="s">
        <v>157</v>
      </c>
      <c r="D76" s="10" t="s">
        <v>158</v>
      </c>
    </row>
    <row r="77" spans="1:6" x14ac:dyDescent="0.25">
      <c r="A77" s="8"/>
      <c r="B77" s="9">
        <v>77</v>
      </c>
      <c r="C77" s="10" t="s">
        <v>271</v>
      </c>
      <c r="D77" s="10" t="s">
        <v>272</v>
      </c>
    </row>
    <row r="78" spans="1:6" x14ac:dyDescent="0.25">
      <c r="A78" s="8"/>
      <c r="B78" s="9">
        <v>78</v>
      </c>
      <c r="C78" s="10" t="s">
        <v>273</v>
      </c>
      <c r="D78" s="10" t="s">
        <v>274</v>
      </c>
    </row>
    <row r="79" spans="1:6" x14ac:dyDescent="0.25">
      <c r="A79" s="8"/>
      <c r="B79" s="9">
        <v>79</v>
      </c>
      <c r="C79" s="10" t="s">
        <v>275</v>
      </c>
      <c r="D79" s="10" t="s">
        <v>276</v>
      </c>
    </row>
    <row r="80" spans="1:6" x14ac:dyDescent="0.25">
      <c r="A80" s="8"/>
      <c r="B80" s="9">
        <v>80</v>
      </c>
      <c r="C80" s="10" t="s">
        <v>277</v>
      </c>
      <c r="D80" s="10" t="s">
        <v>278</v>
      </c>
    </row>
    <row r="81" spans="1:4" x14ac:dyDescent="0.25">
      <c r="A81" s="8"/>
      <c r="B81" s="9">
        <v>81</v>
      </c>
      <c r="C81" s="10" t="s">
        <v>571</v>
      </c>
      <c r="D81" s="10" t="s">
        <v>359</v>
      </c>
    </row>
    <row r="82" spans="1:4" x14ac:dyDescent="0.25">
      <c r="A82" s="8"/>
      <c r="B82" s="9">
        <v>82</v>
      </c>
      <c r="C82" s="10" t="s">
        <v>572</v>
      </c>
      <c r="D82" s="10" t="s">
        <v>360</v>
      </c>
    </row>
    <row r="83" spans="1:4" x14ac:dyDescent="0.25">
      <c r="A83" s="8"/>
      <c r="B83" s="9">
        <v>83</v>
      </c>
      <c r="C83" s="10" t="s">
        <v>573</v>
      </c>
      <c r="D83" s="10" t="s">
        <v>361</v>
      </c>
    </row>
    <row r="84" spans="1:4" x14ac:dyDescent="0.25">
      <c r="A84" s="8"/>
      <c r="B84" s="9">
        <v>84</v>
      </c>
      <c r="C84" s="10" t="s">
        <v>574</v>
      </c>
      <c r="D84" s="10" t="s">
        <v>362</v>
      </c>
    </row>
    <row r="85" spans="1:4" x14ac:dyDescent="0.25">
      <c r="A85" s="8"/>
      <c r="B85" s="9">
        <v>85</v>
      </c>
      <c r="C85" s="10" t="s">
        <v>575</v>
      </c>
      <c r="D85" s="10" t="s">
        <v>363</v>
      </c>
    </row>
    <row r="86" spans="1:4" x14ac:dyDescent="0.25">
      <c r="A86" s="8"/>
      <c r="B86" s="9">
        <v>86</v>
      </c>
      <c r="C86" s="10" t="s">
        <v>576</v>
      </c>
      <c r="D86" s="10" t="s">
        <v>364</v>
      </c>
    </row>
    <row r="87" spans="1:4" x14ac:dyDescent="0.25">
      <c r="A87" s="8"/>
      <c r="B87" s="9">
        <v>87</v>
      </c>
      <c r="C87" s="10" t="s">
        <v>577</v>
      </c>
      <c r="D87" s="10" t="s">
        <v>365</v>
      </c>
    </row>
    <row r="88" spans="1:4" x14ac:dyDescent="0.25">
      <c r="A88" s="8"/>
      <c r="B88" s="9">
        <v>88</v>
      </c>
      <c r="C88" s="10" t="s">
        <v>578</v>
      </c>
      <c r="D88" s="10" t="s">
        <v>366</v>
      </c>
    </row>
    <row r="89" spans="1:4" x14ac:dyDescent="0.25">
      <c r="A89" s="8"/>
      <c r="B89" s="9">
        <v>89</v>
      </c>
      <c r="C89" s="10" t="s">
        <v>579</v>
      </c>
      <c r="D89" s="10" t="s">
        <v>367</v>
      </c>
    </row>
    <row r="90" spans="1:4" x14ac:dyDescent="0.25">
      <c r="A90" s="8"/>
      <c r="B90" s="9">
        <v>90</v>
      </c>
      <c r="C90" s="10" t="s">
        <v>580</v>
      </c>
      <c r="D90" s="10" t="s">
        <v>368</v>
      </c>
    </row>
    <row r="91" spans="1:4" x14ac:dyDescent="0.25">
      <c r="A91" s="8"/>
      <c r="B91" s="9">
        <v>91</v>
      </c>
      <c r="C91" s="10" t="s">
        <v>581</v>
      </c>
      <c r="D91" s="10" t="s">
        <v>369</v>
      </c>
    </row>
    <row r="92" spans="1:4" x14ac:dyDescent="0.25">
      <c r="A92" s="8"/>
      <c r="B92" s="9">
        <v>92</v>
      </c>
      <c r="C92" s="10" t="s">
        <v>582</v>
      </c>
      <c r="D92" s="10" t="s">
        <v>370</v>
      </c>
    </row>
    <row r="93" spans="1:4" x14ac:dyDescent="0.25">
      <c r="A93" s="8"/>
      <c r="B93" s="9">
        <v>93</v>
      </c>
      <c r="C93" s="10" t="s">
        <v>583</v>
      </c>
      <c r="D93" s="10" t="s">
        <v>371</v>
      </c>
    </row>
    <row r="94" spans="1:4" x14ac:dyDescent="0.25">
      <c r="A94" s="8"/>
      <c r="B94" s="9">
        <v>94</v>
      </c>
      <c r="C94" s="10" t="s">
        <v>584</v>
      </c>
      <c r="D94" s="10" t="s">
        <v>372</v>
      </c>
    </row>
    <row r="95" spans="1:4" x14ac:dyDescent="0.25">
      <c r="A95" s="8"/>
      <c r="B95" s="9">
        <v>95</v>
      </c>
      <c r="C95" s="10" t="s">
        <v>585</v>
      </c>
      <c r="D95" s="10" t="s">
        <v>373</v>
      </c>
    </row>
    <row r="96" spans="1:4" x14ac:dyDescent="0.25">
      <c r="A96" s="8"/>
      <c r="B96" s="9">
        <v>96</v>
      </c>
      <c r="C96" s="10" t="s">
        <v>586</v>
      </c>
      <c r="D96" s="10" t="s">
        <v>374</v>
      </c>
    </row>
    <row r="97" spans="1:4" x14ac:dyDescent="0.25">
      <c r="A97" s="8"/>
      <c r="B97" s="9">
        <v>97</v>
      </c>
      <c r="C97" s="10" t="s">
        <v>587</v>
      </c>
      <c r="D97" s="10" t="s">
        <v>375</v>
      </c>
    </row>
    <row r="98" spans="1:4" x14ac:dyDescent="0.25">
      <c r="A98" s="8"/>
      <c r="B98" s="9">
        <v>98</v>
      </c>
      <c r="C98" s="10" t="s">
        <v>588</v>
      </c>
      <c r="D98" s="10" t="s">
        <v>376</v>
      </c>
    </row>
    <row r="99" spans="1:4" x14ac:dyDescent="0.25">
      <c r="A99" s="8"/>
      <c r="B99" s="9">
        <v>99</v>
      </c>
      <c r="C99" s="10" t="s">
        <v>589</v>
      </c>
      <c r="D99" s="10" t="s">
        <v>377</v>
      </c>
    </row>
    <row r="100" spans="1:4" x14ac:dyDescent="0.25">
      <c r="A100" s="8"/>
      <c r="B100" s="9">
        <v>100</v>
      </c>
      <c r="C100" s="10" t="s">
        <v>590</v>
      </c>
      <c r="D100" s="10" t="s">
        <v>378</v>
      </c>
    </row>
    <row r="101" spans="1:4" x14ac:dyDescent="0.25">
      <c r="A101" s="8"/>
      <c r="B101" s="9">
        <v>101</v>
      </c>
      <c r="C101" s="10" t="s">
        <v>591</v>
      </c>
      <c r="D101" s="10" t="s">
        <v>379</v>
      </c>
    </row>
    <row r="102" spans="1:4" x14ac:dyDescent="0.25">
      <c r="A102" s="8"/>
      <c r="B102" s="9">
        <v>102</v>
      </c>
      <c r="C102" s="10" t="s">
        <v>592</v>
      </c>
      <c r="D102" s="10" t="s">
        <v>380</v>
      </c>
    </row>
    <row r="103" spans="1:4" x14ac:dyDescent="0.25">
      <c r="A103" s="8"/>
      <c r="B103" s="9">
        <v>103</v>
      </c>
      <c r="C103" s="10" t="s">
        <v>593</v>
      </c>
      <c r="D103" s="10" t="s">
        <v>381</v>
      </c>
    </row>
    <row r="104" spans="1:4" x14ac:dyDescent="0.25">
      <c r="A104" s="8"/>
      <c r="B104" s="9">
        <v>104</v>
      </c>
      <c r="C104" s="10" t="s">
        <v>595</v>
      </c>
      <c r="D104" s="10" t="s">
        <v>383</v>
      </c>
    </row>
    <row r="105" spans="1:4" x14ac:dyDescent="0.25">
      <c r="A105" s="8"/>
      <c r="B105" s="9">
        <v>105</v>
      </c>
      <c r="C105" s="10" t="s">
        <v>279</v>
      </c>
      <c r="D105" s="10" t="s">
        <v>280</v>
      </c>
    </row>
    <row r="106" spans="1:4" x14ac:dyDescent="0.25">
      <c r="A106" s="8"/>
      <c r="B106" s="9">
        <v>106</v>
      </c>
      <c r="C106" s="10" t="s">
        <v>281</v>
      </c>
      <c r="D106" s="10" t="s">
        <v>282</v>
      </c>
    </row>
    <row r="107" spans="1:4" x14ac:dyDescent="0.25">
      <c r="A107" s="8"/>
      <c r="B107" s="9">
        <v>107</v>
      </c>
      <c r="C107" s="10" t="s">
        <v>283</v>
      </c>
      <c r="D107" s="10" t="s">
        <v>284</v>
      </c>
    </row>
    <row r="108" spans="1:4" x14ac:dyDescent="0.25">
      <c r="A108" s="8"/>
      <c r="B108" s="9">
        <v>108</v>
      </c>
      <c r="C108" s="10" t="s">
        <v>285</v>
      </c>
      <c r="D108" s="10" t="s">
        <v>286</v>
      </c>
    </row>
    <row r="109" spans="1:4" x14ac:dyDescent="0.25">
      <c r="A109" s="8"/>
      <c r="B109" s="9">
        <v>109</v>
      </c>
      <c r="C109" s="10" t="s">
        <v>287</v>
      </c>
      <c r="D109" s="10" t="s">
        <v>288</v>
      </c>
    </row>
    <row r="110" spans="1:4" x14ac:dyDescent="0.25">
      <c r="A110" s="8"/>
      <c r="B110" s="9">
        <v>110</v>
      </c>
      <c r="C110" s="10" t="s">
        <v>289</v>
      </c>
      <c r="D110" s="10" t="s">
        <v>290</v>
      </c>
    </row>
    <row r="111" spans="1:4" x14ac:dyDescent="0.25">
      <c r="A111" s="8"/>
      <c r="B111" s="9">
        <v>111</v>
      </c>
      <c r="C111" s="10" t="s">
        <v>291</v>
      </c>
      <c r="D111" s="10" t="s">
        <v>292</v>
      </c>
    </row>
    <row r="112" spans="1:4" x14ac:dyDescent="0.25">
      <c r="A112" s="8"/>
      <c r="B112" s="9">
        <v>112</v>
      </c>
      <c r="C112" s="10" t="s">
        <v>293</v>
      </c>
      <c r="D112" s="10" t="s">
        <v>294</v>
      </c>
    </row>
    <row r="113" spans="1:4" x14ac:dyDescent="0.25">
      <c r="A113" s="8"/>
      <c r="B113" s="9">
        <v>113</v>
      </c>
      <c r="C113" s="10" t="s">
        <v>295</v>
      </c>
      <c r="D113" s="10" t="s">
        <v>296</v>
      </c>
    </row>
    <row r="114" spans="1:4" x14ac:dyDescent="0.25">
      <c r="A114" s="8"/>
      <c r="B114" s="9">
        <v>114</v>
      </c>
      <c r="C114" s="10" t="s">
        <v>297</v>
      </c>
      <c r="D114" s="10" t="s">
        <v>298</v>
      </c>
    </row>
    <row r="115" spans="1:4" x14ac:dyDescent="0.25">
      <c r="A115" s="8"/>
      <c r="B115" s="9">
        <v>115</v>
      </c>
      <c r="C115" s="10" t="s">
        <v>299</v>
      </c>
      <c r="D115" s="10" t="s">
        <v>300</v>
      </c>
    </row>
    <row r="116" spans="1:4" x14ac:dyDescent="0.25">
      <c r="A116" s="8"/>
      <c r="B116" s="9">
        <v>116</v>
      </c>
      <c r="C116" s="10" t="s">
        <v>301</v>
      </c>
      <c r="D116" s="10" t="s">
        <v>302</v>
      </c>
    </row>
    <row r="117" spans="1:4" x14ac:dyDescent="0.25">
      <c r="A117" s="8"/>
      <c r="B117" s="9">
        <v>117</v>
      </c>
      <c r="C117" s="10" t="s">
        <v>303</v>
      </c>
      <c r="D117" s="10" t="s">
        <v>304</v>
      </c>
    </row>
    <row r="118" spans="1:4" x14ac:dyDescent="0.25">
      <c r="A118" s="8"/>
      <c r="B118" s="9">
        <v>118</v>
      </c>
      <c r="C118" s="10" t="s">
        <v>305</v>
      </c>
      <c r="D118" s="10" t="s">
        <v>306</v>
      </c>
    </row>
    <row r="119" spans="1:4" x14ac:dyDescent="0.25">
      <c r="A119" s="8"/>
      <c r="B119" s="9">
        <v>119</v>
      </c>
      <c r="C119" s="10" t="s">
        <v>307</v>
      </c>
      <c r="D119" s="10" t="s">
        <v>308</v>
      </c>
    </row>
    <row r="120" spans="1:4" x14ac:dyDescent="0.25">
      <c r="A120" s="8"/>
      <c r="B120" s="9">
        <v>120</v>
      </c>
      <c r="C120" s="10" t="s">
        <v>309</v>
      </c>
      <c r="D120" s="10" t="s">
        <v>310</v>
      </c>
    </row>
    <row r="121" spans="1:4" x14ac:dyDescent="0.25">
      <c r="A121" s="8"/>
      <c r="B121" s="9">
        <v>121</v>
      </c>
      <c r="C121" s="10" t="s">
        <v>311</v>
      </c>
      <c r="D121" s="10" t="s">
        <v>312</v>
      </c>
    </row>
    <row r="122" spans="1:4" x14ac:dyDescent="0.25">
      <c r="A122" s="8"/>
      <c r="B122" s="9">
        <v>122</v>
      </c>
      <c r="C122" s="10" t="s">
        <v>313</v>
      </c>
      <c r="D122" s="10" t="s">
        <v>314</v>
      </c>
    </row>
    <row r="123" spans="1:4" x14ac:dyDescent="0.25">
      <c r="A123" s="8"/>
      <c r="B123" s="9">
        <v>123</v>
      </c>
      <c r="C123" s="10" t="s">
        <v>315</v>
      </c>
      <c r="D123" s="10" t="s">
        <v>316</v>
      </c>
    </row>
    <row r="124" spans="1:4" x14ac:dyDescent="0.25">
      <c r="A124" s="8"/>
      <c r="B124" s="9">
        <v>124</v>
      </c>
      <c r="C124" s="10" t="s">
        <v>317</v>
      </c>
      <c r="D124" s="10" t="s">
        <v>318</v>
      </c>
    </row>
    <row r="125" spans="1:4" x14ac:dyDescent="0.25">
      <c r="A125" s="8"/>
      <c r="B125" s="9">
        <v>125</v>
      </c>
      <c r="C125" s="10" t="s">
        <v>319</v>
      </c>
      <c r="D125" s="10" t="s">
        <v>320</v>
      </c>
    </row>
    <row r="126" spans="1:4" x14ac:dyDescent="0.25">
      <c r="A126" s="8"/>
      <c r="B126" s="9">
        <v>126</v>
      </c>
      <c r="C126" s="10" t="s">
        <v>321</v>
      </c>
      <c r="D126" s="10" t="s">
        <v>322</v>
      </c>
    </row>
    <row r="127" spans="1:4" x14ac:dyDescent="0.25">
      <c r="A127" s="8"/>
      <c r="B127" s="9">
        <v>127</v>
      </c>
      <c r="C127" s="10" t="s">
        <v>323</v>
      </c>
      <c r="D127" s="10" t="s">
        <v>324</v>
      </c>
    </row>
    <row r="128" spans="1:4" x14ac:dyDescent="0.25">
      <c r="A128" s="8"/>
      <c r="B128" s="9">
        <v>128</v>
      </c>
      <c r="C128" s="10" t="s">
        <v>325</v>
      </c>
      <c r="D128" s="10" t="s">
        <v>326</v>
      </c>
    </row>
    <row r="129" spans="1:4" x14ac:dyDescent="0.25">
      <c r="A129" s="8"/>
      <c r="B129" s="9">
        <v>129</v>
      </c>
      <c r="C129" s="10" t="s">
        <v>327</v>
      </c>
      <c r="D129" s="10" t="s">
        <v>328</v>
      </c>
    </row>
    <row r="130" spans="1:4" x14ac:dyDescent="0.25">
      <c r="A130" s="8"/>
      <c r="B130" s="9">
        <v>130</v>
      </c>
      <c r="C130" s="10" t="s">
        <v>329</v>
      </c>
      <c r="D130" s="10" t="s">
        <v>330</v>
      </c>
    </row>
    <row r="131" spans="1:4" x14ac:dyDescent="0.25">
      <c r="A131" s="8"/>
      <c r="B131" s="9">
        <v>131</v>
      </c>
      <c r="C131" s="10" t="s">
        <v>596</v>
      </c>
      <c r="D131" s="10" t="s">
        <v>384</v>
      </c>
    </row>
    <row r="132" spans="1:4" x14ac:dyDescent="0.25">
      <c r="A132" s="8"/>
      <c r="B132" s="9">
        <v>132</v>
      </c>
      <c r="C132" s="10" t="s">
        <v>331</v>
      </c>
      <c r="D132" s="10" t="s">
        <v>332</v>
      </c>
    </row>
    <row r="133" spans="1:4" x14ac:dyDescent="0.25">
      <c r="A133" s="8"/>
      <c r="B133" s="9">
        <v>133</v>
      </c>
      <c r="C133" s="10" t="s">
        <v>333</v>
      </c>
      <c r="D133" s="10" t="s">
        <v>334</v>
      </c>
    </row>
    <row r="134" spans="1:4" x14ac:dyDescent="0.25">
      <c r="A134" s="8"/>
      <c r="B134" s="9">
        <v>134</v>
      </c>
      <c r="C134" s="10" t="s">
        <v>335</v>
      </c>
      <c r="D134" s="10" t="s">
        <v>336</v>
      </c>
    </row>
    <row r="135" spans="1:4" x14ac:dyDescent="0.25">
      <c r="A135" s="8"/>
      <c r="B135" s="9">
        <v>135</v>
      </c>
      <c r="C135" s="10" t="s">
        <v>597</v>
      </c>
      <c r="D135" s="10" t="s">
        <v>385</v>
      </c>
    </row>
    <row r="136" spans="1:4" x14ac:dyDescent="0.25">
      <c r="A136" s="8"/>
      <c r="B136" s="9">
        <v>136</v>
      </c>
      <c r="C136" s="10" t="s">
        <v>337</v>
      </c>
      <c r="D136" s="10" t="s">
        <v>338</v>
      </c>
    </row>
    <row r="137" spans="1:4" x14ac:dyDescent="0.25">
      <c r="A137" s="8"/>
      <c r="B137" s="9">
        <v>137</v>
      </c>
      <c r="C137" s="10" t="s">
        <v>339</v>
      </c>
      <c r="D137" s="10" t="s">
        <v>340</v>
      </c>
    </row>
    <row r="138" spans="1:4" x14ac:dyDescent="0.25">
      <c r="A138" s="8"/>
      <c r="B138" s="9">
        <v>138</v>
      </c>
      <c r="C138" s="10" t="s">
        <v>341</v>
      </c>
      <c r="D138" s="10" t="s">
        <v>342</v>
      </c>
    </row>
    <row r="139" spans="1:4" x14ac:dyDescent="0.25">
      <c r="A139" s="8"/>
      <c r="B139" s="9">
        <v>139</v>
      </c>
      <c r="C139" s="10" t="s">
        <v>343</v>
      </c>
      <c r="D139" s="10" t="s">
        <v>344</v>
      </c>
    </row>
    <row r="140" spans="1:4" x14ac:dyDescent="0.25">
      <c r="A140" s="8"/>
      <c r="B140" s="9">
        <v>140</v>
      </c>
      <c r="C140" s="10" t="s">
        <v>345</v>
      </c>
      <c r="D140" s="10" t="s">
        <v>346</v>
      </c>
    </row>
    <row r="141" spans="1:4" x14ac:dyDescent="0.25">
      <c r="A141" s="8"/>
      <c r="B141" s="9">
        <v>141</v>
      </c>
      <c r="C141" s="10" t="s">
        <v>347</v>
      </c>
      <c r="D141" s="10" t="s">
        <v>348</v>
      </c>
    </row>
    <row r="142" spans="1:4" x14ac:dyDescent="0.25">
      <c r="A142" s="8"/>
      <c r="B142" s="9">
        <v>142</v>
      </c>
      <c r="C142" s="10" t="s">
        <v>349</v>
      </c>
      <c r="D142" s="10" t="s">
        <v>350</v>
      </c>
    </row>
    <row r="143" spans="1:4" x14ac:dyDescent="0.25">
      <c r="A143" s="8"/>
      <c r="B143" s="9">
        <v>143</v>
      </c>
      <c r="C143" s="10" t="s">
        <v>351</v>
      </c>
      <c r="D143" s="10" t="s">
        <v>352</v>
      </c>
    </row>
    <row r="144" spans="1:4" x14ac:dyDescent="0.25">
      <c r="A144" s="8"/>
      <c r="B144" s="9">
        <v>144</v>
      </c>
      <c r="C144" s="10" t="s">
        <v>353</v>
      </c>
      <c r="D144" s="10" t="s">
        <v>354</v>
      </c>
    </row>
    <row r="145" spans="1:4" x14ac:dyDescent="0.25">
      <c r="A145" s="8"/>
      <c r="B145" s="9">
        <v>145</v>
      </c>
      <c r="C145" s="10" t="s">
        <v>355</v>
      </c>
      <c r="D145" s="10" t="s">
        <v>356</v>
      </c>
    </row>
    <row r="146" spans="1:4" x14ac:dyDescent="0.25">
      <c r="A146" s="8"/>
      <c r="B146" s="9">
        <v>146</v>
      </c>
      <c r="C146" s="10" t="s">
        <v>357</v>
      </c>
      <c r="D146" s="10" t="s">
        <v>358</v>
      </c>
    </row>
    <row r="147" spans="1:4" x14ac:dyDescent="0.25">
      <c r="A147" s="8"/>
      <c r="B147" s="9">
        <v>147</v>
      </c>
      <c r="C147" s="10" t="s">
        <v>594</v>
      </c>
      <c r="D147" s="10" t="s">
        <v>382</v>
      </c>
    </row>
    <row r="148" spans="1:4" x14ac:dyDescent="0.25">
      <c r="A148" s="8"/>
      <c r="B148" s="9">
        <v>148</v>
      </c>
      <c r="C148" s="10" t="s">
        <v>386</v>
      </c>
      <c r="D148" s="10" t="s">
        <v>387</v>
      </c>
    </row>
    <row r="149" spans="1:4" x14ac:dyDescent="0.25">
      <c r="A149" s="8"/>
      <c r="B149" s="9">
        <v>149</v>
      </c>
      <c r="C149" s="10" t="s">
        <v>388</v>
      </c>
      <c r="D149" s="10" t="s">
        <v>389</v>
      </c>
    </row>
    <row r="150" spans="1:4" x14ac:dyDescent="0.25">
      <c r="A150" s="8"/>
      <c r="B150" s="9">
        <v>150</v>
      </c>
      <c r="C150" s="10" t="s">
        <v>390</v>
      </c>
      <c r="D150" s="10" t="s">
        <v>391</v>
      </c>
    </row>
    <row r="151" spans="1:4" x14ac:dyDescent="0.25">
      <c r="A151" s="8"/>
      <c r="B151" s="9">
        <v>151</v>
      </c>
      <c r="C151" s="10" t="s">
        <v>392</v>
      </c>
      <c r="D151" s="10" t="s">
        <v>393</v>
      </c>
    </row>
    <row r="152" spans="1:4" x14ac:dyDescent="0.25">
      <c r="A152" s="8"/>
      <c r="B152" s="9">
        <v>152</v>
      </c>
      <c r="C152" s="10" t="s">
        <v>394</v>
      </c>
      <c r="D152" s="10" t="s">
        <v>395</v>
      </c>
    </row>
    <row r="153" spans="1:4" x14ac:dyDescent="0.25">
      <c r="A153" s="8"/>
      <c r="B153" s="9">
        <v>153</v>
      </c>
      <c r="C153" s="10" t="s">
        <v>396</v>
      </c>
      <c r="D153" s="10" t="s">
        <v>397</v>
      </c>
    </row>
    <row r="154" spans="1:4" x14ac:dyDescent="0.25">
      <c r="A154" s="8"/>
      <c r="B154" s="9">
        <v>154</v>
      </c>
      <c r="C154" s="10" t="s">
        <v>398</v>
      </c>
      <c r="D154" s="10" t="s">
        <v>399</v>
      </c>
    </row>
    <row r="155" spans="1:4" x14ac:dyDescent="0.25">
      <c r="A155" s="8"/>
      <c r="B155" s="9">
        <v>155</v>
      </c>
      <c r="C155" s="10" t="s">
        <v>400</v>
      </c>
      <c r="D155" s="10" t="s">
        <v>401</v>
      </c>
    </row>
    <row r="156" spans="1:4" x14ac:dyDescent="0.25">
      <c r="A156" s="8"/>
      <c r="B156" s="9">
        <v>156</v>
      </c>
      <c r="C156" s="10" t="s">
        <v>402</v>
      </c>
      <c r="D156" s="10" t="s">
        <v>403</v>
      </c>
    </row>
    <row r="157" spans="1:4" x14ac:dyDescent="0.25">
      <c r="A157" s="8"/>
      <c r="B157" s="9">
        <v>157</v>
      </c>
      <c r="C157" s="10" t="s">
        <v>404</v>
      </c>
      <c r="D157" s="10" t="s">
        <v>405</v>
      </c>
    </row>
    <row r="158" spans="1:4" x14ac:dyDescent="0.25">
      <c r="A158" s="8"/>
      <c r="B158" s="9">
        <v>158</v>
      </c>
      <c r="C158" s="10" t="s">
        <v>406</v>
      </c>
      <c r="D158" s="10" t="s">
        <v>407</v>
      </c>
    </row>
    <row r="159" spans="1:4" x14ac:dyDescent="0.25">
      <c r="A159" s="8"/>
      <c r="B159" s="9">
        <v>159</v>
      </c>
      <c r="C159" s="10" t="s">
        <v>408</v>
      </c>
      <c r="D159" s="10" t="s">
        <v>409</v>
      </c>
    </row>
    <row r="160" spans="1:4" x14ac:dyDescent="0.25">
      <c r="A160" s="8"/>
      <c r="B160" s="9">
        <v>160</v>
      </c>
      <c r="C160" s="10" t="s">
        <v>410</v>
      </c>
      <c r="D160" s="10" t="s">
        <v>411</v>
      </c>
    </row>
    <row r="161" spans="1:4" x14ac:dyDescent="0.25">
      <c r="A161" s="8"/>
      <c r="B161" s="9">
        <v>161</v>
      </c>
      <c r="C161" s="10" t="s">
        <v>412</v>
      </c>
      <c r="D161" s="10" t="s">
        <v>413</v>
      </c>
    </row>
    <row r="162" spans="1:4" x14ac:dyDescent="0.25">
      <c r="A162" s="8"/>
      <c r="B162" s="9">
        <v>162</v>
      </c>
      <c r="C162" s="10" t="s">
        <v>171</v>
      </c>
      <c r="D162" s="10" t="s">
        <v>172</v>
      </c>
    </row>
    <row r="163" spans="1:4" x14ac:dyDescent="0.25">
      <c r="A163" s="8"/>
      <c r="B163" s="9">
        <v>163</v>
      </c>
      <c r="C163" s="10" t="s">
        <v>173</v>
      </c>
      <c r="D163" s="10" t="s">
        <v>174</v>
      </c>
    </row>
    <row r="164" spans="1:4" x14ac:dyDescent="0.25">
      <c r="A164" s="8"/>
      <c r="B164" s="9">
        <v>164</v>
      </c>
      <c r="C164" s="10" t="s">
        <v>175</v>
      </c>
      <c r="D164" s="10" t="s">
        <v>176</v>
      </c>
    </row>
    <row r="165" spans="1:4" x14ac:dyDescent="0.25">
      <c r="A165" s="8"/>
      <c r="B165" s="9">
        <v>165</v>
      </c>
      <c r="C165" s="10" t="s">
        <v>414</v>
      </c>
      <c r="D165" s="10" t="s">
        <v>415</v>
      </c>
    </row>
    <row r="166" spans="1:4" x14ac:dyDescent="0.25">
      <c r="A166" s="8"/>
      <c r="B166" s="9">
        <v>166</v>
      </c>
      <c r="C166" s="10" t="s">
        <v>416</v>
      </c>
      <c r="D166" s="10" t="s">
        <v>417</v>
      </c>
    </row>
    <row r="167" spans="1:4" x14ac:dyDescent="0.25">
      <c r="A167" s="8"/>
      <c r="B167" s="9">
        <v>167</v>
      </c>
      <c r="C167" s="10" t="s">
        <v>418</v>
      </c>
      <c r="D167" s="10" t="s">
        <v>419</v>
      </c>
    </row>
    <row r="168" spans="1:4" x14ac:dyDescent="0.25">
      <c r="A168" s="8"/>
      <c r="B168" s="9">
        <v>168</v>
      </c>
      <c r="C168" s="10" t="s">
        <v>420</v>
      </c>
      <c r="D168" s="10" t="s">
        <v>421</v>
      </c>
    </row>
    <row r="169" spans="1:4" x14ac:dyDescent="0.25">
      <c r="A169" s="8"/>
      <c r="B169" s="9">
        <v>169</v>
      </c>
      <c r="C169" s="10" t="s">
        <v>422</v>
      </c>
      <c r="D169" s="10" t="s">
        <v>423</v>
      </c>
    </row>
    <row r="170" spans="1:4" x14ac:dyDescent="0.25">
      <c r="A170" s="8"/>
      <c r="B170" s="9">
        <v>170</v>
      </c>
      <c r="C170" s="10" t="s">
        <v>424</v>
      </c>
      <c r="D170" s="10" t="s">
        <v>425</v>
      </c>
    </row>
    <row r="171" spans="1:4" x14ac:dyDescent="0.25">
      <c r="A171" s="8"/>
      <c r="B171" s="9">
        <v>171</v>
      </c>
      <c r="C171" s="10" t="s">
        <v>426</v>
      </c>
      <c r="D171" s="10" t="s">
        <v>427</v>
      </c>
    </row>
    <row r="172" spans="1:4" x14ac:dyDescent="0.25">
      <c r="A172" s="8"/>
      <c r="B172" s="9">
        <v>172</v>
      </c>
      <c r="C172" s="10" t="s">
        <v>428</v>
      </c>
      <c r="D172" s="10" t="s">
        <v>429</v>
      </c>
    </row>
    <row r="173" spans="1:4" x14ac:dyDescent="0.25">
      <c r="A173" s="8"/>
      <c r="B173" s="9">
        <v>173</v>
      </c>
      <c r="C173" s="10" t="s">
        <v>430</v>
      </c>
      <c r="D173" s="10" t="s">
        <v>431</v>
      </c>
    </row>
    <row r="174" spans="1:4" x14ac:dyDescent="0.25">
      <c r="A174" s="8"/>
      <c r="B174" s="9">
        <v>174</v>
      </c>
      <c r="C174" s="10" t="s">
        <v>432</v>
      </c>
      <c r="D174" s="10" t="s">
        <v>433</v>
      </c>
    </row>
    <row r="175" spans="1:4" x14ac:dyDescent="0.25">
      <c r="A175" s="8"/>
      <c r="B175" s="9">
        <v>175</v>
      </c>
      <c r="C175" s="10" t="s">
        <v>434</v>
      </c>
      <c r="D175" s="10" t="s">
        <v>435</v>
      </c>
    </row>
    <row r="176" spans="1:4" x14ac:dyDescent="0.25">
      <c r="A176" s="8"/>
      <c r="B176" s="9">
        <v>176</v>
      </c>
      <c r="C176" s="10" t="s">
        <v>436</v>
      </c>
      <c r="D176" s="10" t="s">
        <v>437</v>
      </c>
    </row>
    <row r="177" spans="1:4" x14ac:dyDescent="0.25">
      <c r="A177" s="8"/>
      <c r="B177" s="9">
        <v>177</v>
      </c>
      <c r="C177" s="10" t="s">
        <v>438</v>
      </c>
      <c r="D177" s="10" t="s">
        <v>439</v>
      </c>
    </row>
    <row r="178" spans="1:4" x14ac:dyDescent="0.25">
      <c r="A178" s="8"/>
      <c r="B178" s="9">
        <v>178</v>
      </c>
      <c r="C178" s="10" t="s">
        <v>440</v>
      </c>
      <c r="D178" s="10" t="s">
        <v>441</v>
      </c>
    </row>
    <row r="179" spans="1:4" x14ac:dyDescent="0.25">
      <c r="A179" s="8"/>
      <c r="B179" s="9">
        <v>179</v>
      </c>
      <c r="C179" s="10" t="s">
        <v>442</v>
      </c>
      <c r="D179" s="10" t="s">
        <v>443</v>
      </c>
    </row>
    <row r="180" spans="1:4" x14ac:dyDescent="0.25">
      <c r="A180" s="8"/>
      <c r="B180" s="9">
        <v>180</v>
      </c>
      <c r="C180" s="10" t="s">
        <v>444</v>
      </c>
      <c r="D180" s="10" t="s">
        <v>445</v>
      </c>
    </row>
    <row r="181" spans="1:4" x14ac:dyDescent="0.25">
      <c r="A181" s="8"/>
      <c r="B181" s="9">
        <v>181</v>
      </c>
      <c r="C181" s="10" t="s">
        <v>446</v>
      </c>
      <c r="D181" s="10" t="s">
        <v>447</v>
      </c>
    </row>
    <row r="182" spans="1:4" x14ac:dyDescent="0.25">
      <c r="A182" s="8"/>
      <c r="B182" s="9">
        <v>182</v>
      </c>
      <c r="C182" s="10" t="s">
        <v>448</v>
      </c>
      <c r="D182" s="10" t="s">
        <v>449</v>
      </c>
    </row>
    <row r="183" spans="1:4" x14ac:dyDescent="0.25">
      <c r="A183" s="8"/>
      <c r="B183" s="9">
        <v>183</v>
      </c>
      <c r="C183" s="10" t="s">
        <v>450</v>
      </c>
      <c r="D183" s="10" t="s">
        <v>451</v>
      </c>
    </row>
    <row r="184" spans="1:4" x14ac:dyDescent="0.25">
      <c r="A184" s="8"/>
      <c r="B184" s="9">
        <v>184</v>
      </c>
      <c r="C184" s="10" t="s">
        <v>452</v>
      </c>
      <c r="D184" s="10" t="s">
        <v>453</v>
      </c>
    </row>
    <row r="185" spans="1:4" x14ac:dyDescent="0.25">
      <c r="A185" s="8"/>
      <c r="B185" s="9">
        <v>185</v>
      </c>
      <c r="C185" s="10" t="s">
        <v>454</v>
      </c>
      <c r="D185" s="10" t="s">
        <v>455</v>
      </c>
    </row>
    <row r="186" spans="1:4" x14ac:dyDescent="0.25">
      <c r="A186" s="8"/>
      <c r="B186" s="9">
        <v>186</v>
      </c>
      <c r="C186" s="10" t="s">
        <v>456</v>
      </c>
      <c r="D186" s="10" t="s">
        <v>457</v>
      </c>
    </row>
    <row r="187" spans="1:4" x14ac:dyDescent="0.25">
      <c r="A187" s="8"/>
      <c r="B187" s="9">
        <v>187</v>
      </c>
      <c r="C187" s="10" t="s">
        <v>458</v>
      </c>
      <c r="D187" s="10" t="s">
        <v>459</v>
      </c>
    </row>
    <row r="188" spans="1:4" x14ac:dyDescent="0.25">
      <c r="A188" s="8"/>
      <c r="B188" s="9">
        <v>188</v>
      </c>
      <c r="C188" s="10" t="s">
        <v>460</v>
      </c>
      <c r="D188" s="10" t="s">
        <v>461</v>
      </c>
    </row>
    <row r="189" spans="1:4" x14ac:dyDescent="0.25">
      <c r="A189" s="8"/>
      <c r="B189" s="9">
        <v>189</v>
      </c>
      <c r="C189" s="10" t="s">
        <v>462</v>
      </c>
      <c r="D189" s="10" t="s">
        <v>463</v>
      </c>
    </row>
    <row r="190" spans="1:4" x14ac:dyDescent="0.25">
      <c r="A190" s="8"/>
      <c r="B190" s="9">
        <v>190</v>
      </c>
      <c r="C190" s="10" t="s">
        <v>464</v>
      </c>
      <c r="D190" s="10" t="s">
        <v>465</v>
      </c>
    </row>
    <row r="191" spans="1:4" x14ac:dyDescent="0.25">
      <c r="A191" s="8"/>
      <c r="B191" s="9">
        <v>191</v>
      </c>
      <c r="C191" s="10" t="s">
        <v>466</v>
      </c>
      <c r="D191" s="10" t="s">
        <v>467</v>
      </c>
    </row>
    <row r="192" spans="1:4" x14ac:dyDescent="0.25">
      <c r="A192" s="8"/>
      <c r="B192" s="9">
        <v>192</v>
      </c>
      <c r="C192" s="10" t="s">
        <v>468</v>
      </c>
      <c r="D192" s="10" t="s">
        <v>469</v>
      </c>
    </row>
    <row r="193" spans="1:4" x14ac:dyDescent="0.25">
      <c r="A193" s="8"/>
      <c r="B193" s="9">
        <v>193</v>
      </c>
      <c r="C193" s="10" t="s">
        <v>470</v>
      </c>
      <c r="D193" s="10" t="s">
        <v>471</v>
      </c>
    </row>
    <row r="194" spans="1:4" x14ac:dyDescent="0.25">
      <c r="A194" s="8"/>
      <c r="B194" s="9">
        <v>194</v>
      </c>
      <c r="C194" s="10" t="s">
        <v>472</v>
      </c>
      <c r="D194" s="10" t="s">
        <v>473</v>
      </c>
    </row>
    <row r="195" spans="1:4" x14ac:dyDescent="0.25">
      <c r="A195" s="8"/>
      <c r="B195" s="9">
        <v>195</v>
      </c>
      <c r="C195" s="10" t="s">
        <v>474</v>
      </c>
      <c r="D195" s="10" t="s">
        <v>475</v>
      </c>
    </row>
    <row r="196" spans="1:4" x14ac:dyDescent="0.25">
      <c r="A196" s="8"/>
      <c r="B196" s="9">
        <v>196</v>
      </c>
      <c r="C196" s="10" t="s">
        <v>476</v>
      </c>
      <c r="D196" s="10" t="s">
        <v>477</v>
      </c>
    </row>
    <row r="197" spans="1:4" x14ac:dyDescent="0.25">
      <c r="A197" s="8"/>
      <c r="B197" s="9">
        <v>197</v>
      </c>
      <c r="C197" s="10" t="s">
        <v>478</v>
      </c>
      <c r="D197" s="10" t="s">
        <v>479</v>
      </c>
    </row>
    <row r="198" spans="1:4" x14ac:dyDescent="0.25">
      <c r="A198" s="8"/>
      <c r="B198" s="9">
        <v>198</v>
      </c>
      <c r="C198" s="10" t="s">
        <v>480</v>
      </c>
      <c r="D198" s="10" t="s">
        <v>481</v>
      </c>
    </row>
    <row r="199" spans="1:4" x14ac:dyDescent="0.25">
      <c r="A199" s="8"/>
      <c r="B199" s="9">
        <v>199</v>
      </c>
      <c r="C199" s="10" t="s">
        <v>482</v>
      </c>
      <c r="D199" s="10" t="s">
        <v>483</v>
      </c>
    </row>
    <row r="200" spans="1:4" x14ac:dyDescent="0.25">
      <c r="A200" s="8"/>
      <c r="B200" s="9">
        <v>200</v>
      </c>
      <c r="C200" s="10" t="s">
        <v>484</v>
      </c>
      <c r="D200" s="10" t="s">
        <v>485</v>
      </c>
    </row>
    <row r="201" spans="1:4" x14ac:dyDescent="0.25">
      <c r="A201" s="8"/>
      <c r="B201" s="9">
        <v>201</v>
      </c>
      <c r="C201" s="10" t="s">
        <v>486</v>
      </c>
      <c r="D201" s="10" t="s">
        <v>487</v>
      </c>
    </row>
    <row r="202" spans="1:4" x14ac:dyDescent="0.25">
      <c r="A202" s="8"/>
      <c r="B202" s="9">
        <v>202</v>
      </c>
      <c r="C202" s="10" t="s">
        <v>488</v>
      </c>
      <c r="D202" s="10" t="s">
        <v>489</v>
      </c>
    </row>
    <row r="203" spans="1:4" x14ac:dyDescent="0.25">
      <c r="A203" s="8"/>
      <c r="B203" s="9">
        <v>203</v>
      </c>
      <c r="C203" s="10" t="s">
        <v>490</v>
      </c>
      <c r="D203" s="10" t="s">
        <v>491</v>
      </c>
    </row>
    <row r="204" spans="1:4" x14ac:dyDescent="0.25">
      <c r="A204" s="8"/>
      <c r="B204" s="9">
        <v>204</v>
      </c>
      <c r="C204" s="10" t="s">
        <v>492</v>
      </c>
      <c r="D204" s="10" t="s">
        <v>493</v>
      </c>
    </row>
    <row r="205" spans="1:4" x14ac:dyDescent="0.25">
      <c r="A205" s="8"/>
      <c r="B205" s="9">
        <v>205</v>
      </c>
      <c r="C205" s="10" t="s">
        <v>494</v>
      </c>
      <c r="D205" s="10" t="s">
        <v>495</v>
      </c>
    </row>
    <row r="206" spans="1:4" x14ac:dyDescent="0.25">
      <c r="A206" s="8"/>
      <c r="B206" s="9">
        <v>206</v>
      </c>
      <c r="C206" s="10" t="s">
        <v>496</v>
      </c>
      <c r="D206" s="10" t="s">
        <v>497</v>
      </c>
    </row>
    <row r="207" spans="1:4" x14ac:dyDescent="0.25">
      <c r="A207" s="8"/>
      <c r="B207" s="9">
        <v>207</v>
      </c>
      <c r="C207" s="10" t="s">
        <v>177</v>
      </c>
      <c r="D207" s="10" t="s">
        <v>178</v>
      </c>
    </row>
    <row r="208" spans="1:4" x14ac:dyDescent="0.25">
      <c r="A208" s="8"/>
      <c r="B208" s="9">
        <v>208</v>
      </c>
      <c r="C208" s="10" t="s">
        <v>179</v>
      </c>
      <c r="D208" s="10" t="s">
        <v>180</v>
      </c>
    </row>
    <row r="209" spans="1:4" x14ac:dyDescent="0.25">
      <c r="A209" s="8"/>
      <c r="B209" s="9">
        <v>209</v>
      </c>
      <c r="C209" s="10" t="s">
        <v>498</v>
      </c>
      <c r="D209" s="10" t="s">
        <v>499</v>
      </c>
    </row>
    <row r="210" spans="1:4" x14ac:dyDescent="0.25">
      <c r="A210" s="8"/>
      <c r="B210" s="9">
        <v>210</v>
      </c>
      <c r="C210" s="10" t="s">
        <v>500</v>
      </c>
      <c r="D210" s="10" t="s">
        <v>501</v>
      </c>
    </row>
    <row r="211" spans="1:4" x14ac:dyDescent="0.25">
      <c r="A211" s="8"/>
      <c r="B211" s="9">
        <v>211</v>
      </c>
      <c r="C211" s="10" t="s">
        <v>502</v>
      </c>
      <c r="D211" s="10" t="s">
        <v>503</v>
      </c>
    </row>
    <row r="212" spans="1:4" x14ac:dyDescent="0.25">
      <c r="A212" s="8"/>
      <c r="B212" s="9">
        <v>212</v>
      </c>
      <c r="C212" s="10" t="s">
        <v>504</v>
      </c>
      <c r="D212" s="10" t="s">
        <v>505</v>
      </c>
    </row>
    <row r="213" spans="1:4" x14ac:dyDescent="0.25">
      <c r="A213" s="8"/>
      <c r="B213" s="9">
        <v>213</v>
      </c>
      <c r="C213" s="10" t="s">
        <v>506</v>
      </c>
      <c r="D213" s="10" t="s">
        <v>507</v>
      </c>
    </row>
    <row r="214" spans="1:4" x14ac:dyDescent="0.25">
      <c r="A214" s="8"/>
      <c r="B214" s="9">
        <v>214</v>
      </c>
      <c r="C214" s="10" t="s">
        <v>508</v>
      </c>
      <c r="D214" s="10" t="s">
        <v>509</v>
      </c>
    </row>
    <row r="215" spans="1:4" x14ac:dyDescent="0.25">
      <c r="A215" s="8"/>
      <c r="B215" s="9">
        <v>215</v>
      </c>
      <c r="C215" s="10" t="s">
        <v>510</v>
      </c>
      <c r="D215" s="10" t="s">
        <v>565</v>
      </c>
    </row>
    <row r="216" spans="1:4" x14ac:dyDescent="0.25">
      <c r="A216" s="8"/>
      <c r="B216" s="9">
        <v>216</v>
      </c>
      <c r="C216" s="10" t="s">
        <v>511</v>
      </c>
      <c r="D216" s="10" t="s">
        <v>512</v>
      </c>
    </row>
    <row r="217" spans="1:4" x14ac:dyDescent="0.25">
      <c r="A217" s="8"/>
      <c r="B217" s="9">
        <v>217</v>
      </c>
      <c r="C217" s="10" t="s">
        <v>598</v>
      </c>
      <c r="D217" s="10" t="s">
        <v>535</v>
      </c>
    </row>
    <row r="218" spans="1:4" x14ac:dyDescent="0.25">
      <c r="A218" s="8"/>
      <c r="B218" s="9">
        <v>218</v>
      </c>
      <c r="C218" s="10" t="s">
        <v>513</v>
      </c>
      <c r="D218" s="10" t="s">
        <v>514</v>
      </c>
    </row>
    <row r="219" spans="1:4" x14ac:dyDescent="0.25">
      <c r="A219" s="8"/>
      <c r="B219" s="9">
        <v>219</v>
      </c>
      <c r="C219" s="10" t="s">
        <v>599</v>
      </c>
      <c r="D219" s="10" t="s">
        <v>536</v>
      </c>
    </row>
    <row r="220" spans="1:4" x14ac:dyDescent="0.25">
      <c r="A220" s="8"/>
      <c r="B220" s="9">
        <v>220</v>
      </c>
      <c r="C220" s="10" t="s">
        <v>515</v>
      </c>
      <c r="D220" s="10" t="s">
        <v>516</v>
      </c>
    </row>
    <row r="221" spans="1:4" x14ac:dyDescent="0.25">
      <c r="A221" s="8"/>
      <c r="B221" s="9">
        <v>221</v>
      </c>
      <c r="C221" s="10" t="s">
        <v>517</v>
      </c>
      <c r="D221" s="10" t="s">
        <v>518</v>
      </c>
    </row>
    <row r="222" spans="1:4" x14ac:dyDescent="0.25">
      <c r="A222" s="8"/>
      <c r="B222" s="9">
        <v>222</v>
      </c>
      <c r="C222" s="10" t="s">
        <v>519</v>
      </c>
      <c r="D222" s="10" t="s">
        <v>520</v>
      </c>
    </row>
    <row r="223" spans="1:4" x14ac:dyDescent="0.25">
      <c r="A223" s="8"/>
      <c r="B223" s="9">
        <v>223</v>
      </c>
      <c r="C223" s="10" t="s">
        <v>521</v>
      </c>
      <c r="D223" s="10" t="s">
        <v>522</v>
      </c>
    </row>
    <row r="224" spans="1:4" x14ac:dyDescent="0.25">
      <c r="A224" s="8"/>
      <c r="B224" s="9">
        <v>224</v>
      </c>
      <c r="C224" s="10" t="s">
        <v>523</v>
      </c>
      <c r="D224" s="10" t="s">
        <v>524</v>
      </c>
    </row>
    <row r="225" spans="1:6" x14ac:dyDescent="0.25">
      <c r="A225" s="8"/>
      <c r="B225" s="9">
        <v>225</v>
      </c>
      <c r="C225" s="10" t="s">
        <v>600</v>
      </c>
      <c r="D225" s="10" t="s">
        <v>537</v>
      </c>
    </row>
    <row r="226" spans="1:6" x14ac:dyDescent="0.25">
      <c r="A226" s="8"/>
      <c r="B226" s="9">
        <v>226</v>
      </c>
      <c r="C226" s="10" t="s">
        <v>525</v>
      </c>
      <c r="D226" s="10" t="s">
        <v>526</v>
      </c>
    </row>
    <row r="227" spans="1:6" x14ac:dyDescent="0.25">
      <c r="A227" s="8"/>
      <c r="B227" s="9">
        <v>227</v>
      </c>
      <c r="C227" s="10" t="s">
        <v>527</v>
      </c>
      <c r="D227" s="10" t="s">
        <v>528</v>
      </c>
    </row>
    <row r="228" spans="1:6" x14ac:dyDescent="0.25">
      <c r="A228" s="8"/>
      <c r="B228" s="9">
        <v>228</v>
      </c>
      <c r="C228" s="10" t="s">
        <v>529</v>
      </c>
      <c r="D228" s="10" t="s">
        <v>530</v>
      </c>
    </row>
    <row r="229" spans="1:6" x14ac:dyDescent="0.25">
      <c r="A229" s="8"/>
      <c r="B229" s="9">
        <v>229</v>
      </c>
      <c r="C229" s="10" t="s">
        <v>531</v>
      </c>
      <c r="D229" s="10" t="s">
        <v>532</v>
      </c>
    </row>
    <row r="230" spans="1:6" x14ac:dyDescent="0.25">
      <c r="A230" s="8"/>
      <c r="B230" s="9">
        <v>230</v>
      </c>
      <c r="C230" s="10" t="s">
        <v>533</v>
      </c>
      <c r="D230" s="10" t="s">
        <v>534</v>
      </c>
    </row>
    <row r="231" spans="1:6" x14ac:dyDescent="0.25">
      <c r="A231" s="8"/>
      <c r="B231" s="9">
        <v>231</v>
      </c>
      <c r="C231" s="10" t="s">
        <v>538</v>
      </c>
      <c r="D231" s="10" t="s">
        <v>695</v>
      </c>
    </row>
    <row r="232" spans="1:6" x14ac:dyDescent="0.25">
      <c r="A232" s="8"/>
      <c r="B232" s="9">
        <v>232</v>
      </c>
      <c r="C232" s="12" t="s">
        <v>604</v>
      </c>
      <c r="D232" s="12" t="s">
        <v>539</v>
      </c>
    </row>
    <row r="233" spans="1:6" x14ac:dyDescent="0.25">
      <c r="B233" s="13">
        <v>234</v>
      </c>
      <c r="C233" s="12" t="s">
        <v>605</v>
      </c>
      <c r="D233" s="12" t="s">
        <v>540</v>
      </c>
    </row>
    <row r="234" spans="1:6" x14ac:dyDescent="0.25">
      <c r="B234" s="13">
        <v>235</v>
      </c>
      <c r="C234" s="12" t="s">
        <v>606</v>
      </c>
      <c r="D234" s="12" t="s">
        <v>541</v>
      </c>
    </row>
    <row r="235" spans="1:6" x14ac:dyDescent="0.25">
      <c r="B235" s="13">
        <v>236</v>
      </c>
      <c r="C235" s="12" t="s">
        <v>607</v>
      </c>
      <c r="D235" s="12" t="s">
        <v>542</v>
      </c>
    </row>
    <row r="236" spans="1:6" x14ac:dyDescent="0.25">
      <c r="B236" s="13">
        <v>237</v>
      </c>
      <c r="C236" s="12" t="s">
        <v>608</v>
      </c>
      <c r="D236" s="12" t="s">
        <v>543</v>
      </c>
    </row>
    <row r="237" spans="1:6" x14ac:dyDescent="0.25">
      <c r="B237" s="13">
        <v>238</v>
      </c>
      <c r="C237" s="12" t="s">
        <v>609</v>
      </c>
      <c r="D237" s="12" t="s">
        <v>544</v>
      </c>
      <c r="F237" s="11"/>
    </row>
    <row r="238" spans="1:6" x14ac:dyDescent="0.25">
      <c r="B238" s="13">
        <v>239</v>
      </c>
      <c r="C238" s="12" t="s">
        <v>610</v>
      </c>
      <c r="D238" s="12" t="s">
        <v>545</v>
      </c>
      <c r="F238" s="11"/>
    </row>
    <row r="239" spans="1:6" x14ac:dyDescent="0.25">
      <c r="B239" s="13">
        <v>240</v>
      </c>
      <c r="C239" s="12" t="s">
        <v>611</v>
      </c>
      <c r="D239" s="12" t="s">
        <v>546</v>
      </c>
      <c r="F239" s="11"/>
    </row>
    <row r="240" spans="1:6" x14ac:dyDescent="0.25">
      <c r="B240" s="13">
        <v>242</v>
      </c>
      <c r="C240" s="12" t="s">
        <v>612</v>
      </c>
      <c r="D240" s="12" t="s">
        <v>547</v>
      </c>
    </row>
    <row r="241" spans="2:6" x14ac:dyDescent="0.25">
      <c r="B241" s="13">
        <v>243</v>
      </c>
      <c r="C241" s="12" t="s">
        <v>613</v>
      </c>
      <c r="D241" s="12" t="s">
        <v>548</v>
      </c>
      <c r="F241" s="11"/>
    </row>
    <row r="242" spans="2:6" x14ac:dyDescent="0.25">
      <c r="B242" s="13">
        <v>244</v>
      </c>
      <c r="C242" s="12" t="s">
        <v>549</v>
      </c>
      <c r="D242" s="12" t="s">
        <v>550</v>
      </c>
    </row>
    <row r="243" spans="2:6" x14ac:dyDescent="0.25">
      <c r="B243" s="13">
        <v>245</v>
      </c>
      <c r="C243" s="12" t="s">
        <v>149</v>
      </c>
      <c r="D243" s="12" t="s">
        <v>150</v>
      </c>
      <c r="F243" s="11"/>
    </row>
    <row r="244" spans="2:6" x14ac:dyDescent="0.25">
      <c r="B244" s="13">
        <v>246</v>
      </c>
      <c r="C244" s="12" t="s">
        <v>615</v>
      </c>
      <c r="D244" s="12" t="s">
        <v>552</v>
      </c>
    </row>
    <row r="245" spans="2:6" x14ac:dyDescent="0.25">
      <c r="B245" s="13">
        <v>247</v>
      </c>
      <c r="C245" s="12" t="s">
        <v>616</v>
      </c>
      <c r="D245" s="12" t="s">
        <v>553</v>
      </c>
    </row>
    <row r="246" spans="2:6" x14ac:dyDescent="0.25">
      <c r="B246" s="13">
        <v>248</v>
      </c>
      <c r="C246" s="12" t="s">
        <v>617</v>
      </c>
      <c r="D246" s="12" t="s">
        <v>554</v>
      </c>
    </row>
    <row r="247" spans="2:6" x14ac:dyDescent="0.25">
      <c r="B247" s="13">
        <v>250</v>
      </c>
      <c r="C247" s="12" t="s">
        <v>555</v>
      </c>
      <c r="D247" s="12" t="s">
        <v>556</v>
      </c>
      <c r="F247" s="11"/>
    </row>
    <row r="248" spans="2:6" x14ac:dyDescent="0.25">
      <c r="B248" s="13">
        <v>251</v>
      </c>
      <c r="C248" s="12" t="s">
        <v>557</v>
      </c>
      <c r="D248" s="12" t="s">
        <v>558</v>
      </c>
    </row>
    <row r="249" spans="2:6" x14ac:dyDescent="0.25">
      <c r="B249" s="13">
        <v>252</v>
      </c>
      <c r="C249" s="12" t="s">
        <v>559</v>
      </c>
      <c r="D249" s="12" t="s">
        <v>560</v>
      </c>
    </row>
    <row r="250" spans="2:6" x14ac:dyDescent="0.25">
      <c r="B250" s="13">
        <v>253</v>
      </c>
      <c r="C250" s="12" t="s">
        <v>561</v>
      </c>
      <c r="D250" s="12" t="s">
        <v>562</v>
      </c>
    </row>
    <row r="251" spans="2:6" x14ac:dyDescent="0.25">
      <c r="B251" s="13">
        <v>254</v>
      </c>
      <c r="C251" s="12" t="s">
        <v>563</v>
      </c>
      <c r="D251" s="12" t="s">
        <v>564</v>
      </c>
      <c r="F251" s="11"/>
    </row>
    <row r="252" spans="2:6" x14ac:dyDescent="0.25">
      <c r="B252" s="13">
        <v>255</v>
      </c>
      <c r="C252" s="12" t="s">
        <v>693</v>
      </c>
      <c r="D252" s="12" t="s">
        <v>692</v>
      </c>
      <c r="F252" s="11"/>
    </row>
    <row r="253" spans="2:6" x14ac:dyDescent="0.25">
      <c r="B253" s="22"/>
      <c r="C253" s="22"/>
      <c r="D253" s="22"/>
    </row>
    <row r="254" spans="2:6" x14ac:dyDescent="0.25">
      <c r="B254" s="22"/>
      <c r="C254" s="22"/>
      <c r="D254" s="22"/>
    </row>
    <row r="255" spans="2:6" x14ac:dyDescent="0.25">
      <c r="B255" s="22"/>
      <c r="C255" s="22"/>
      <c r="D255" s="22"/>
    </row>
    <row r="256" spans="2:6" x14ac:dyDescent="0.25">
      <c r="B256" s="22"/>
      <c r="C256" s="22"/>
      <c r="D256" s="22"/>
    </row>
    <row r="257" spans="2:4" x14ac:dyDescent="0.25">
      <c r="B257" s="22"/>
      <c r="C257" s="22"/>
      <c r="D257" s="22"/>
    </row>
    <row r="258" spans="2:4" x14ac:dyDescent="0.25">
      <c r="B258" s="22"/>
      <c r="C258" s="22"/>
      <c r="D258" s="22"/>
    </row>
    <row r="259" spans="2:4" x14ac:dyDescent="0.25">
      <c r="B259" s="22"/>
      <c r="C259" s="22"/>
      <c r="D259" s="22"/>
    </row>
    <row r="260" spans="2:4" x14ac:dyDescent="0.25">
      <c r="B260" s="22"/>
      <c r="C260" s="22"/>
      <c r="D260" s="22"/>
    </row>
    <row r="261" spans="2:4" x14ac:dyDescent="0.25">
      <c r="B261" s="22"/>
      <c r="C261" s="22"/>
      <c r="D261" s="22"/>
    </row>
    <row r="262" spans="2:4" x14ac:dyDescent="0.25">
      <c r="B262" s="22"/>
      <c r="C262" s="22"/>
      <c r="D262" s="22"/>
    </row>
    <row r="263" spans="2:4" x14ac:dyDescent="0.25">
      <c r="B263" s="22"/>
      <c r="C263" s="22"/>
      <c r="D263" s="2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5"/>
  <sheetViews>
    <sheetView workbookViewId="0">
      <selection activeCell="I19" sqref="I19"/>
    </sheetView>
  </sheetViews>
  <sheetFormatPr defaultRowHeight="14.4" x14ac:dyDescent="0.25"/>
  <cols>
    <col min="3" max="3" width="15.6640625" customWidth="1"/>
    <col min="5" max="5" width="7.77734375" customWidth="1"/>
    <col min="6" max="6" width="11" customWidth="1"/>
  </cols>
  <sheetData>
    <row r="2" spans="2:6" x14ac:dyDescent="0.25">
      <c r="B2" s="20">
        <v>8</v>
      </c>
      <c r="C2" s="20"/>
      <c r="D2" s="3"/>
      <c r="E2" s="21">
        <v>12</v>
      </c>
      <c r="F2" s="21"/>
    </row>
    <row r="3" spans="2:6" ht="15.6" x14ac:dyDescent="0.25">
      <c r="B3" s="17" t="s">
        <v>667</v>
      </c>
      <c r="C3" s="18" t="s">
        <v>668</v>
      </c>
      <c r="D3" s="3"/>
      <c r="E3" s="17" t="s">
        <v>677</v>
      </c>
      <c r="F3" s="18" t="s">
        <v>678</v>
      </c>
    </row>
    <row r="4" spans="2:6" ht="15.6" x14ac:dyDescent="0.25">
      <c r="B4" s="9">
        <v>1</v>
      </c>
      <c r="C4" s="18" t="s">
        <v>669</v>
      </c>
      <c r="D4" s="3"/>
      <c r="E4" s="17">
        <v>1</v>
      </c>
      <c r="F4" s="19" t="s">
        <v>690</v>
      </c>
    </row>
    <row r="5" spans="2:6" ht="15.6" x14ac:dyDescent="0.25">
      <c r="B5" s="9">
        <v>2</v>
      </c>
      <c r="C5" s="18" t="s">
        <v>670</v>
      </c>
      <c r="D5" s="3"/>
      <c r="E5" s="9">
        <v>2</v>
      </c>
      <c r="F5" s="18" t="s">
        <v>679</v>
      </c>
    </row>
    <row r="6" spans="2:6" ht="15.6" x14ac:dyDescent="0.25">
      <c r="B6" s="9">
        <v>3</v>
      </c>
      <c r="C6" s="18" t="s">
        <v>671</v>
      </c>
      <c r="D6" s="3"/>
      <c r="E6" s="17">
        <v>3</v>
      </c>
      <c r="F6" s="19" t="s">
        <v>680</v>
      </c>
    </row>
    <row r="7" spans="2:6" ht="15.6" x14ac:dyDescent="0.25">
      <c r="B7" s="9">
        <v>4</v>
      </c>
      <c r="C7" s="18" t="s">
        <v>672</v>
      </c>
      <c r="D7" s="3"/>
      <c r="E7" s="9">
        <v>4</v>
      </c>
      <c r="F7" s="19" t="s">
        <v>681</v>
      </c>
    </row>
    <row r="8" spans="2:6" ht="15.6" x14ac:dyDescent="0.25">
      <c r="B8" s="9">
        <v>5</v>
      </c>
      <c r="C8" s="18" t="s">
        <v>673</v>
      </c>
      <c r="D8" s="3"/>
      <c r="E8" s="17">
        <v>5</v>
      </c>
      <c r="F8" s="19" t="s">
        <v>682</v>
      </c>
    </row>
    <row r="9" spans="2:6" ht="15.6" x14ac:dyDescent="0.25">
      <c r="B9" s="9">
        <v>6</v>
      </c>
      <c r="C9" s="18" t="s">
        <v>674</v>
      </c>
      <c r="D9" s="3"/>
      <c r="E9" s="9">
        <v>6</v>
      </c>
      <c r="F9" s="19" t="s">
        <v>683</v>
      </c>
    </row>
    <row r="10" spans="2:6" ht="15.6" x14ac:dyDescent="0.25">
      <c r="B10" s="9">
        <v>7</v>
      </c>
      <c r="C10" s="18" t="s">
        <v>675</v>
      </c>
      <c r="D10" s="3"/>
      <c r="E10" s="17">
        <v>7</v>
      </c>
      <c r="F10" s="19" t="s">
        <v>684</v>
      </c>
    </row>
    <row r="11" spans="2:6" ht="15.6" x14ac:dyDescent="0.25">
      <c r="B11" s="9">
        <v>8</v>
      </c>
      <c r="C11" s="18" t="s">
        <v>676</v>
      </c>
      <c r="D11" s="3"/>
      <c r="E11" s="9">
        <v>8</v>
      </c>
      <c r="F11" s="19" t="s">
        <v>685</v>
      </c>
    </row>
    <row r="12" spans="2:6" ht="15.6" x14ac:dyDescent="0.25">
      <c r="B12" s="3"/>
      <c r="C12" s="3"/>
      <c r="D12" s="3"/>
      <c r="E12" s="17">
        <v>9</v>
      </c>
      <c r="F12" s="19" t="s">
        <v>686</v>
      </c>
    </row>
    <row r="13" spans="2:6" ht="15.6" x14ac:dyDescent="0.25">
      <c r="B13" s="3"/>
      <c r="C13" s="3"/>
      <c r="D13" s="3"/>
      <c r="E13" s="9">
        <v>10</v>
      </c>
      <c r="F13" s="19" t="s">
        <v>687</v>
      </c>
    </row>
    <row r="14" spans="2:6" ht="15.6" x14ac:dyDescent="0.25">
      <c r="B14" s="3"/>
      <c r="C14" s="3"/>
      <c r="D14" s="3"/>
      <c r="E14" s="17">
        <v>11</v>
      </c>
      <c r="F14" s="19" t="s">
        <v>688</v>
      </c>
    </row>
    <row r="15" spans="2:6" ht="15.6" x14ac:dyDescent="0.25">
      <c r="B15" s="3"/>
      <c r="C15" s="3"/>
      <c r="D15" s="3"/>
      <c r="E15" s="9">
        <v>12</v>
      </c>
      <c r="F15" s="19" t="s">
        <v>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Material</vt:lpstr>
      <vt:lpstr>SMaterial</vt:lpstr>
      <vt:lpstr>Standard</vt:lpstr>
      <vt:lpstr>Standard (old1)</vt:lpstr>
      <vt:lpstr>记事本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谢全利</cp:lastModifiedBy>
  <dcterms:created xsi:type="dcterms:W3CDTF">2006-09-13T11:21:51Z</dcterms:created>
  <dcterms:modified xsi:type="dcterms:W3CDTF">2025-11-05T10:35:32Z</dcterms:modified>
</cp:coreProperties>
</file>