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PythonWork\ALLPart3.8\database\"/>
    </mc:Choice>
  </mc:AlternateContent>
  <bookViews>
    <workbookView xWindow="0" yWindow="0" windowWidth="23040" windowHeight="9300" activeTab="3"/>
  </bookViews>
  <sheets>
    <sheet name="M_JSYQ" sheetId="3" r:id="rId1"/>
    <sheet name="JSYQ" sheetId="1" r:id="rId2"/>
    <sheet name="说明" sheetId="2" r:id="rId3"/>
    <sheet name="编码" sheetId="4" r:id="rId4"/>
    <sheet name="Material" sheetId="5" r:id="rId5"/>
  </sheets>
  <definedNames>
    <definedName name="_xlnm.Print_Area" localSheetId="1">JSYQ!$B$1:$M$20</definedName>
  </definedNames>
  <calcPr calcId="162913" iterate="1"/>
</workbook>
</file>

<file path=xl/calcChain.xml><?xml version="1.0" encoding="utf-8"?>
<calcChain xmlns="http://schemas.openxmlformats.org/spreadsheetml/2006/main">
  <c r="E174" i="5" l="1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K87" i="5"/>
  <c r="E87" i="5"/>
  <c r="K86" i="5"/>
  <c r="E86" i="5"/>
  <c r="K85" i="5"/>
  <c r="E85" i="5"/>
  <c r="K84" i="5"/>
  <c r="E84" i="5"/>
  <c r="K83" i="5"/>
  <c r="E83" i="5"/>
  <c r="K82" i="5"/>
  <c r="E82" i="5"/>
  <c r="K81" i="5"/>
  <c r="E81" i="5"/>
  <c r="K80" i="5"/>
  <c r="E80" i="5"/>
  <c r="K79" i="5"/>
  <c r="E79" i="5"/>
  <c r="K78" i="5"/>
  <c r="E78" i="5"/>
  <c r="K77" i="5"/>
  <c r="E77" i="5"/>
  <c r="K76" i="5"/>
  <c r="E76" i="5"/>
  <c r="K75" i="5"/>
  <c r="E75" i="5"/>
  <c r="K74" i="5"/>
  <c r="E74" i="5"/>
  <c r="K73" i="5"/>
  <c r="E73" i="5"/>
  <c r="K72" i="5"/>
  <c r="E72" i="5"/>
  <c r="K71" i="5"/>
  <c r="E71" i="5"/>
  <c r="K70" i="5"/>
  <c r="E70" i="5"/>
  <c r="K69" i="5"/>
  <c r="E69" i="5"/>
  <c r="K68" i="5"/>
  <c r="E68" i="5"/>
  <c r="K67" i="5"/>
  <c r="E67" i="5"/>
  <c r="K66" i="5"/>
  <c r="E66" i="5"/>
  <c r="K65" i="5"/>
  <c r="E65" i="5"/>
  <c r="K64" i="5"/>
  <c r="E64" i="5"/>
  <c r="K63" i="5"/>
  <c r="E63" i="5"/>
  <c r="K62" i="5"/>
  <c r="E62" i="5"/>
  <c r="K61" i="5"/>
  <c r="E61" i="5"/>
  <c r="K60" i="5"/>
  <c r="E60" i="5"/>
  <c r="K59" i="5"/>
  <c r="E59" i="5"/>
  <c r="K58" i="5"/>
  <c r="E58" i="5"/>
  <c r="K57" i="5"/>
  <c r="E57" i="5"/>
  <c r="K56" i="5"/>
  <c r="E56" i="5"/>
  <c r="K55" i="5"/>
  <c r="E55" i="5"/>
  <c r="K54" i="5"/>
  <c r="E54" i="5"/>
  <c r="K53" i="5"/>
  <c r="E53" i="5"/>
  <c r="K52" i="5"/>
  <c r="E52" i="5"/>
  <c r="K51" i="5"/>
  <c r="E51" i="5"/>
  <c r="K50" i="5"/>
  <c r="E50" i="5"/>
  <c r="K49" i="5"/>
  <c r="E49" i="5"/>
  <c r="K48" i="5"/>
  <c r="E48" i="5"/>
  <c r="K47" i="5"/>
  <c r="E47" i="5"/>
  <c r="K46" i="5"/>
  <c r="E46" i="5"/>
  <c r="K45" i="5"/>
  <c r="E45" i="5"/>
  <c r="K44" i="5"/>
  <c r="E44" i="5"/>
  <c r="K43" i="5"/>
  <c r="E43" i="5"/>
  <c r="K42" i="5"/>
  <c r="E42" i="5"/>
  <c r="K41" i="5"/>
  <c r="E41" i="5"/>
  <c r="K40" i="5"/>
  <c r="E40" i="5"/>
  <c r="K39" i="5"/>
  <c r="E39" i="5"/>
  <c r="K38" i="5"/>
  <c r="E38" i="5"/>
  <c r="K37" i="5"/>
  <c r="E37" i="5"/>
  <c r="K36" i="5"/>
  <c r="E36" i="5"/>
  <c r="K35" i="5"/>
  <c r="E35" i="5"/>
  <c r="K34" i="5"/>
  <c r="E34" i="5"/>
  <c r="K33" i="5"/>
  <c r="E33" i="5"/>
  <c r="K32" i="5"/>
  <c r="E32" i="5"/>
  <c r="K31" i="5"/>
  <c r="E31" i="5"/>
  <c r="K30" i="5"/>
  <c r="E30" i="5"/>
  <c r="K29" i="5"/>
  <c r="E29" i="5"/>
  <c r="K28" i="5"/>
  <c r="E28" i="5"/>
  <c r="K27" i="5"/>
  <c r="E27" i="5"/>
  <c r="K26" i="5"/>
  <c r="E26" i="5"/>
  <c r="K25" i="5"/>
  <c r="E25" i="5"/>
  <c r="K24" i="5"/>
  <c r="E24" i="5"/>
  <c r="K23" i="5"/>
  <c r="E23" i="5"/>
  <c r="K22" i="5"/>
  <c r="E22" i="5"/>
  <c r="K21" i="5"/>
  <c r="E21" i="5"/>
  <c r="K20" i="5"/>
  <c r="E20" i="5"/>
  <c r="K19" i="5"/>
  <c r="E19" i="5"/>
  <c r="K18" i="5"/>
  <c r="E18" i="5"/>
  <c r="K17" i="5"/>
  <c r="E17" i="5"/>
  <c r="K16" i="5"/>
  <c r="E16" i="5"/>
  <c r="K15" i="5"/>
  <c r="E15" i="5"/>
  <c r="K14" i="5"/>
  <c r="E14" i="5"/>
  <c r="K13" i="5"/>
  <c r="E13" i="5"/>
  <c r="K12" i="5"/>
  <c r="E12" i="5"/>
  <c r="K11" i="5"/>
  <c r="E11" i="5"/>
  <c r="K10" i="5"/>
  <c r="E10" i="5"/>
  <c r="K9" i="5"/>
  <c r="E9" i="5"/>
  <c r="K8" i="5"/>
  <c r="E8" i="5"/>
  <c r="K7" i="5"/>
  <c r="E7" i="5"/>
  <c r="K6" i="5"/>
  <c r="E6" i="5"/>
  <c r="K5" i="5"/>
  <c r="E5" i="5"/>
  <c r="K4" i="5"/>
  <c r="E4" i="5"/>
  <c r="K3" i="5"/>
  <c r="E3" i="5"/>
  <c r="B21" i="4"/>
  <c r="B20" i="4"/>
  <c r="B19" i="4"/>
  <c r="B18" i="4"/>
  <c r="B17" i="4"/>
  <c r="B1" i="1"/>
</calcChain>
</file>

<file path=xl/sharedStrings.xml><?xml version="1.0" encoding="utf-8"?>
<sst xmlns="http://schemas.openxmlformats.org/spreadsheetml/2006/main" count="864" uniqueCount="385">
  <si>
    <t>受压元件</t>
  </si>
  <si>
    <t>材料标准</t>
  </si>
  <si>
    <t>材料牌号</t>
  </si>
  <si>
    <t>热处理状态</t>
  </si>
  <si>
    <t>附加要求</t>
  </si>
  <si>
    <t>设备类型</t>
  </si>
  <si>
    <t>受压腔类型</t>
  </si>
  <si>
    <t>腐蚀性质</t>
  </si>
  <si>
    <t>介质特性</t>
  </si>
  <si>
    <t>容器类别</t>
  </si>
  <si>
    <t>基层材料</t>
  </si>
  <si>
    <t>复层材料</t>
  </si>
  <si>
    <t>技术要求调出条件</t>
  </si>
  <si>
    <t>T=设计温度 P=设计压力 D=直径 L=长度 C=壁厚</t>
  </si>
  <si>
    <t>备注</t>
  </si>
  <si>
    <t>常压容器,压力容器,换热器,塔器,夹套容器,大型储罐,球罐,疲劳容器,</t>
  </si>
  <si>
    <t>容器,壳程,管程,外夹套,外伴管,内伴管,内浮头,组合件</t>
  </si>
  <si>
    <t>晶间腐蚀,氢腐蚀,湿H2S腐蚀,严重湿H2S腐蚀,NH3腐蚀</t>
  </si>
  <si>
    <t>易燃,易爆,中度危害,高度危害,极度危害</t>
  </si>
  <si>
    <t>--,Ⅰ/D1,Ⅱ/D2,Ⅲ/A1,Ⅲ/A2,Ⅲ/A3,Ⅱ/A3,Ⅰ/A3,Ⅱ/A1,Ⅰ/SAD,Ⅱ/SAD,Ⅲ/SAD</t>
  </si>
  <si>
    <t>0，1</t>
  </si>
  <si>
    <t>材料</t>
  </si>
  <si>
    <t>调出条件</t>
  </si>
  <si>
    <t>退火</t>
  </si>
  <si>
    <t>19-21, 143-171</t>
  </si>
  <si>
    <t>固溶</t>
  </si>
  <si>
    <t>22-35, 56-91, 112-124</t>
  </si>
  <si>
    <t>热轧</t>
  </si>
  <si>
    <t>0,1</t>
  </si>
  <si>
    <t>C&lt;=20</t>
  </si>
  <si>
    <t>正火</t>
  </si>
  <si>
    <t>0-2</t>
  </si>
  <si>
    <t>C&gt;20</t>
  </si>
  <si>
    <t>2,52-54</t>
  </si>
  <si>
    <t>正火+回火</t>
  </si>
  <si>
    <t>3-8</t>
  </si>
  <si>
    <t>9-13</t>
  </si>
  <si>
    <t>淬火+回火</t>
  </si>
  <si>
    <t>14</t>
  </si>
  <si>
    <t>调质</t>
  </si>
  <si>
    <t>15-18</t>
  </si>
  <si>
    <t>36-38</t>
  </si>
  <si>
    <t>39，40</t>
  </si>
  <si>
    <t>39-45</t>
  </si>
  <si>
    <t>46-49</t>
  </si>
  <si>
    <t>C&lt;=30</t>
  </si>
  <si>
    <t>C&gt;31</t>
  </si>
  <si>
    <t>92-94</t>
  </si>
  <si>
    <t>95-111</t>
  </si>
  <si>
    <t>序号</t>
  </si>
  <si>
    <t>技术要求内容</t>
  </si>
  <si>
    <t>选择条件</t>
  </si>
  <si>
    <t>px11用px12钢板应符GB/T 713-2014《锅炉和压力容器用钢板》的规定，热轧或控轧状态下使用。</t>
  </si>
  <si>
    <t>材料要求</t>
  </si>
  <si>
    <t>板材、锻件、管材</t>
  </si>
  <si>
    <t>设备受压元件材料应符合TSG21-2016中境外牌号的使用规定，并按照TSG21-2016中2.1.2条进行复验，复验合格方可投料应用。</t>
  </si>
  <si>
    <t>境外牌号材料；HG/T20581-2020,3.0.5条、TSG21-2016中2.1.2条</t>
  </si>
  <si>
    <t>板材、焊接接头及热影响区</t>
  </si>
  <si>
    <t>设备受压元件用材料、焊接接头及其热影响区应进行-X℃的夏比（V型缺口）低温冲击试验。材料的冲击试验合格指标符合相应的材料标准；焊接接头及其热影响区的冲击试验合格指标同母材。</t>
  </si>
  <si>
    <t>X选项为-20/-30/-40/-50/-70℃。GB150.2表4中协议内容的需提出冲击。板材、锻件、管材应符合GB/TXX中的规定全部取消。</t>
  </si>
  <si>
    <t>板材</t>
  </si>
  <si>
    <t>设备受压元件用钢板应由设备制造单位按照HG/T20585-2020中6.2.2条复验钢材的低温冲击韧性，合格指标符合相应的材料标准。</t>
  </si>
  <si>
    <t>低温压力容器（HG/T205805第6.2.2条）</t>
  </si>
  <si>
    <t>本设备为临氢工况，设备受压元件用材料、焊接接头及其热影响区应进行-X℃的夏比（V型缺口）低温冲击试验。材料的冲击试验合格指标详见相应的材料标准；焊接接头及其热影响区的冲击试验合格指标同母材。</t>
  </si>
  <si>
    <t>适用于15CrMoR(H)、14Cr1MoR(H)、12Cr2Mo1R(H)、12Cr2Mo1VR(H）材料的设备，X按GB/T35012-2018中表6选取。（GB/T35012-2018中表6/GB713-2014 6.8条）</t>
  </si>
  <si>
    <t>本设备为I类湿硫化氢腐蚀环境，设备的材料、制造及检验等应符合SH/T3193-2017中的相关规定。</t>
  </si>
  <si>
    <t>湿硫化氢腐蚀环境</t>
  </si>
  <si>
    <t>本设备为II类湿硫化氢腐蚀环境，设备的材料、制造及检验等应符合SH/T3193-2017中的相关规定。</t>
  </si>
  <si>
    <t>本设备按液氨应力腐蚀环境设计，设备的选材、加工制造等应符合HG/T20581-2020种6.8.5款的规定。</t>
  </si>
  <si>
    <t>液氨应力腐蚀环境</t>
  </si>
  <si>
    <t>壳体管材</t>
  </si>
  <si>
    <t>设备壳体用钢管由设备制造单位按HG/T20581-2020中表5.3.9进行力学性能复验。</t>
  </si>
  <si>
    <t>钢管做壳体的设备（HG/T20581-2020中表5.3.9）</t>
  </si>
  <si>
    <t>设备受压元件用钢板应逐张按NB/T47013.3-2015进行超声检测，UT-I为合格</t>
  </si>
  <si>
    <t>合格级别符合GB150.2表3及修改单的要求。</t>
  </si>
  <si>
    <t>复合板</t>
  </si>
  <si>
    <r>
      <rPr>
        <sz val="12"/>
        <color theme="1"/>
        <rFont val="楷体"/>
        <family val="3"/>
        <charset val="134"/>
      </rPr>
      <t>复合钢板基层用板材应逐张按NB/T47013.3-2015进行超声检测，UT-I级合格。复合板覆层层材料不允许拼接。复合板超声检测的结合状态合格级别</t>
    </r>
    <r>
      <rPr>
        <sz val="12"/>
        <color rgb="FFFF0000"/>
        <rFont val="楷体"/>
        <family val="3"/>
        <charset val="134"/>
      </rPr>
      <t>I级</t>
    </r>
    <r>
      <rPr>
        <sz val="12"/>
        <color theme="1"/>
        <rFont val="楷体"/>
        <family val="3"/>
        <charset val="134"/>
      </rPr>
      <t>。</t>
    </r>
  </si>
  <si>
    <t>复合板塔器及1.6MPa以上容器、真空、热成型封头、高压等，（HG/T20581-2020中5.2.1）。</t>
  </si>
  <si>
    <t>设备受压元件用钢板需增加一组1/2厚度处取样的冲击试验，冲击试验能量值与本材料的力学性能指标相同。</t>
  </si>
  <si>
    <t>适合于大于36mm调质、大于80mm正火、正火+回火的钢板。（GB/T150.2 第4.1.6）</t>
  </si>
  <si>
    <t>设备受压元件用每张热处理钢板需进行拉伸和V型缺口冲击试验，合格指标与本材料的力学性能指标相同。</t>
  </si>
  <si>
    <t>调质、多层内容、＞60mm；内筒钢板。（GB/T150.2 第4.1.6）</t>
  </si>
  <si>
    <t>设备受压元件用钢板需进行高温拉伸试验，在试验温度为x℃下的高温力学性能符合本材料的标准规定。</t>
  </si>
  <si>
    <t>大于20mm的高温工况.详见GB713中6.4.2条。GB150.2中4.1.10(需增加15CrMoR(H)、14Cr1MoR(H)、12Cr2Mo1R(H)).</t>
  </si>
  <si>
    <r>
      <rPr>
        <sz val="11"/>
        <rFont val="楷体"/>
        <family val="3"/>
        <charset val="134"/>
      </rPr>
      <t>设备受压元件用钢板需按GB/T6803-2008进行落锤试验，采用P-2型试样，无塑性转变温度</t>
    </r>
    <r>
      <rPr>
        <sz val="11"/>
        <color rgb="FFFF0000"/>
        <rFont val="楷体"/>
        <family val="3"/>
        <charset val="134"/>
      </rPr>
      <t>不得低于所选材料的使用温度下限温度减10℃</t>
    </r>
    <r>
      <rPr>
        <sz val="11"/>
        <rFont val="楷体"/>
        <family val="3"/>
        <charset val="134"/>
      </rPr>
      <t>。</t>
    </r>
  </si>
  <si>
    <t>抗拉强度大于540MPa,低温钢板（≤-40℃）（GB/T150.2 第4.1.7）（GB713-2014 6.4.4）</t>
  </si>
  <si>
    <t>设备受压元件所用Cr-Mo钢板应符合HG/T20581-2020中5.1.5条的相关规定。</t>
  </si>
  <si>
    <t>设计温度≤440℃。（HG/T20581-2020中5.1.5）</t>
  </si>
  <si>
    <t>440&lt;T and T&lt;=620</t>
  </si>
  <si>
    <t>设备受压元件所用Cr-Mo钢板应符合HG/T20581-2020中5.1.6条的相关规定。</t>
  </si>
  <si>
    <t>设计温度620℃≤T≤440℃。（HG/T20581-2020中5.1.6）</t>
  </si>
  <si>
    <r>
      <rPr>
        <sz val="11"/>
        <rFont val="楷体"/>
        <family val="3"/>
        <charset val="134"/>
      </rPr>
      <t>本设备为临氢工况，设备受压元件用</t>
    </r>
    <r>
      <rPr>
        <sz val="11"/>
        <color rgb="FFFF0000"/>
        <rFont val="楷体"/>
        <family val="3"/>
        <charset val="134"/>
      </rPr>
      <t>板材</t>
    </r>
    <r>
      <rPr>
        <sz val="11"/>
        <rFont val="楷体"/>
        <family val="3"/>
        <charset val="134"/>
      </rPr>
      <t>应按GB/T35012-2018中附录B进行步冷试验。</t>
    </r>
  </si>
  <si>
    <t>12Cr2Mo1R(H)、12Cr2Mo1VR(H）（GB/T35012-2018中6.8条）</t>
  </si>
  <si>
    <t>管材</t>
  </si>
  <si>
    <t>设备材料用钢管应逐根全长按GB/T 5777-2019进行超声波探伤，冷轧（拔）钢管对比试样的人工缺陷级别不得低于U2级，热轧（挤压）钢管对比试样的人工缺陷级别不得低于U2.5级</t>
  </si>
  <si>
    <t>采用GB6479管材，设计压力≥10MPa；（HG/T20581-2020 5.3.7）</t>
  </si>
  <si>
    <t>设备材料用钢管应逐根全长按GB/T 5777-2019进行超声波探伤，冷轧（拔）钢管对比试样的人工缺陷级别不得低于U2级.</t>
  </si>
  <si>
    <t>采用GB6479管材，高压、应力腐蚀、CrMo换热器用换热管（HG/T20581-2020 5.3.7,热轧和挤压管不用）</t>
  </si>
  <si>
    <t>设备受压元件用管材应符合GB/T9948-2013及附录B中的相关规定。（GB6479-2013未规定H2S腐蚀环境，GB647用于H2S腐蚀环境归属于序号5/6条）。</t>
  </si>
  <si>
    <t>湿硫化氢腐蚀环境，GB9948-2013 第6.12条</t>
  </si>
  <si>
    <t>锻件</t>
  </si>
  <si>
    <t>设备制造单位需按相应的锻件标准进行力学性能复验，复验合格方可投料应用。</t>
  </si>
  <si>
    <t>III类压力容器的VI锻件</t>
  </si>
  <si>
    <t>焊接材料</t>
  </si>
  <si>
    <t>设备焊接材料采用低氢型焊条，每批焊条按照GB/T 3965-2012中水银法进行扩散氢含量复验，扩散氢含量≤7ml/100g合格。</t>
  </si>
  <si>
    <t>低温压力容器。II/III类压力容器、球罐、分析设计</t>
  </si>
  <si>
    <t>紧固件</t>
  </si>
  <si>
    <t>设备所用紧固件棒材的化学成分(熔炼分析)及冲击试验应符合GB/T150.2-2011中第7章中的相关规定，冲击吸收能量满足表14中的要求。</t>
  </si>
  <si>
    <t>30CrMoA、35CrMoA、40CrNiMoA螺柱，GB150.2-2011中7.1.4条</t>
  </si>
  <si>
    <t>螺柱应逐根按NB/T 47013.4-2015进行磁粉检测,MT-Ⅰ级为合格.</t>
  </si>
  <si>
    <t>M36以上30CrMoA、35CrMoA、40CrNiMoA紧固件</t>
  </si>
  <si>
    <t>螺柱应逐根按NB/T 47013.5-2015进行渗透检测,PT-Ⅰ级为合格.</t>
  </si>
  <si>
    <t>M36以上不锈钢、镍基紧固件</t>
  </si>
  <si>
    <t>设备受压元件所用S22053双相不锈钢的耐点蚀当量数(PRE)不应低于35，同时应按照ASTM A923-2014 C法进行三氯化铁腐蚀试验，试验温度不低于40°C，腐蚀速率不应超过10mdd。</t>
  </si>
  <si>
    <t>容器,塔器,壳程,储罐,料仓,管程,夹套,管板,U型管,换热管,球罐</t>
  </si>
  <si>
    <t>24,77,123</t>
  </si>
  <si>
    <t>设备受压元件所用08Ni3D锻件应进行设计温度下的拉伸试验，其各项力学性能指标应满足NB/T 47009-2017中材料常温下的规定。</t>
  </si>
  <si>
    <t>容器,塔器,壳程,储罐,料仓,管程,夹套,管板，球罐</t>
  </si>
  <si>
    <t>100&gt;=T and T&gt;20</t>
  </si>
  <si>
    <t>设备受压元件所用双相不锈钢的耐点蚀当量数(PRE)不应低于29，铁素体相的比例控制在40%~60%，其焊接接头的铁素体相的比例应控制在35%~65%。</t>
  </si>
  <si>
    <t>容器,塔器,壳程,储罐,料仓,管程,夹套,管板，U型管,换热管,球罐</t>
  </si>
  <si>
    <t>22,23,24,75-78,89-91,121,123</t>
  </si>
  <si>
    <t>设备受压元件所用双相不锈钢的耐点蚀当量数(PRE)不应低于26，铁素体相的比例控制在40%~60%，其焊接接头的铁素体相的比例应控制在35%~65%。</t>
  </si>
  <si>
    <t>设备受压元件所用双相不锈钢的耐点蚀当量数(PRE)不应低于35，铁素体相的比例控制在40%~60%，其焊接接头的铁素体相的比例应控制在35%~65%。</t>
  </si>
  <si>
    <t>24，77，123</t>
  </si>
  <si>
    <t>设备受压元件所用双相不锈钢的耐点蚀当量数(PRE)不应低于31，铁素体相的比例控制在40%~60%，其焊接接头的铁素体相的比例应控制在35%~65%。</t>
  </si>
  <si>
    <t>23，76，122</t>
  </si>
  <si>
    <t>设备受压元件所用双相不锈钢的耐点蚀当量数(PRE)不应低于40，铁素体相的比例控制在40%~60%，其焊接接头的铁素体相的比例应控制在35%~65%。</t>
  </si>
  <si>
    <t>S25073</t>
  </si>
  <si>
    <t>设备制造过程中的焊前预热、层间温度、层间表面检测、消氢处理及相应的检测，由设备制造厂焊接工艺确定。所有焊接工艺规程均需焊接工艺评定。</t>
  </si>
  <si>
    <t>Cr-Mo刚制压力容器</t>
  </si>
  <si>
    <t>0-18</t>
  </si>
  <si>
    <t>设备的焊缝表面不得有咬边。对接接头应磨平焊缝余高。受压元件角形焊缝应圆滑过渡，过渡圆角≥8mm。内齐平接管内径边角处应倒圆R5~10。</t>
  </si>
  <si>
    <t>低温、疲劳容器</t>
  </si>
  <si>
    <t>本设备需按GB/T 150.4-2011中第9条的规定制备产品焊接试件,焊接试样的检验与评定按NB/T 47016-2011的要求进行，合格指标同母材。</t>
  </si>
  <si>
    <t>液位计管口及其本设备的尺寸公差应满足HG/T20584-2011《钢制化工容器制造技术要求》的规定。</t>
  </si>
  <si>
    <t>参数</t>
  </si>
  <si>
    <t>参数说明</t>
  </si>
  <si>
    <t>获取方式</t>
  </si>
  <si>
    <t>可使用的逻辑运算：</t>
  </si>
  <si>
    <t>px01</t>
  </si>
  <si>
    <t>设计温度1</t>
  </si>
  <si>
    <t>用户界面获取</t>
  </si>
  <si>
    <t>&lt;  小于</t>
  </si>
  <si>
    <t>px02</t>
  </si>
  <si>
    <t>设计压力1</t>
  </si>
  <si>
    <t>&lt;= 小于或等于</t>
  </si>
  <si>
    <t>px03</t>
  </si>
  <si>
    <t>备用</t>
  </si>
  <si>
    <t>&gt;  大于</t>
  </si>
  <si>
    <t>px04</t>
  </si>
  <si>
    <t>&gt;= 大于或等于</t>
  </si>
  <si>
    <t>px05</t>
  </si>
  <si>
    <t>== 等于</t>
  </si>
  <si>
    <t>px06</t>
  </si>
  <si>
    <t>设计温度2</t>
  </si>
  <si>
    <t>!= 不等于</t>
  </si>
  <si>
    <t>px07</t>
  </si>
  <si>
    <t>设计压力2</t>
  </si>
  <si>
    <t>and 布尔"与"</t>
  </si>
  <si>
    <t>px08</t>
  </si>
  <si>
    <t>设备直径</t>
  </si>
  <si>
    <t>or  布尔"或"</t>
  </si>
  <si>
    <t>px09</t>
  </si>
  <si>
    <t>设备长度，球罐支柱长度</t>
  </si>
  <si>
    <t>not 布尔"非"</t>
  </si>
  <si>
    <t>px10</t>
  </si>
  <si>
    <t>设备壁厚</t>
  </si>
  <si>
    <t>()  括号，改变逻辑运算的优先级</t>
  </si>
  <si>
    <t>px11</t>
  </si>
  <si>
    <t>压力腔名称</t>
  </si>
  <si>
    <t>px12</t>
  </si>
  <si>
    <t>自动获取</t>
  </si>
  <si>
    <t>px13</t>
  </si>
  <si>
    <t>px14</t>
  </si>
  <si>
    <t>基材最低冲击温度</t>
  </si>
  <si>
    <t>px15</t>
  </si>
  <si>
    <t>基材标准冲击温度</t>
  </si>
  <si>
    <t>px16</t>
  </si>
  <si>
    <t>基材标准冲击功kV2</t>
  </si>
  <si>
    <t>px17</t>
  </si>
  <si>
    <t>基材最低冲击功</t>
  </si>
  <si>
    <t>=px16*0.7</t>
  </si>
  <si>
    <t>px18</t>
  </si>
  <si>
    <t>塔器直线度</t>
  </si>
  <si>
    <t>=px09*0.001（L≤30m）
=px09*0.5/1000+15（L&gt;30m）</t>
  </si>
  <si>
    <t>px19</t>
  </si>
  <si>
    <t>px20</t>
  </si>
  <si>
    <t>塔体垂直度</t>
  </si>
  <si>
    <t>=px10*0.001(但不能大于30mm)</t>
  </si>
  <si>
    <t>px21</t>
  </si>
  <si>
    <t>填料塔支撑栅平整度</t>
  </si>
  <si>
    <t>=px08*0.002(但不能大于4mm)</t>
  </si>
  <si>
    <t>px22</t>
  </si>
  <si>
    <t>球罐支柱直线度公差</t>
  </si>
  <si>
    <t>=px03*0.001(但不能大于10mm)</t>
  </si>
  <si>
    <t>常压容器</t>
  </si>
  <si>
    <t>容器</t>
  </si>
  <si>
    <t>无</t>
  </si>
  <si>
    <t>T=设计温度</t>
  </si>
  <si>
    <t>压力容器</t>
  </si>
  <si>
    <t>壳程</t>
  </si>
  <si>
    <t>晶间腐蚀</t>
  </si>
  <si>
    <t>易燃</t>
  </si>
  <si>
    <t>Ⅰ/D1</t>
  </si>
  <si>
    <t>P=设计压力</t>
  </si>
  <si>
    <t>换热器</t>
  </si>
  <si>
    <t>管程</t>
  </si>
  <si>
    <t>氢腐蚀</t>
  </si>
  <si>
    <t>易爆</t>
  </si>
  <si>
    <t>Ⅱ/D2</t>
  </si>
  <si>
    <t>塔器</t>
  </si>
  <si>
    <t>外夹套</t>
  </si>
  <si>
    <t>湿H2S腐蚀</t>
  </si>
  <si>
    <t>中度危害</t>
  </si>
  <si>
    <t>Ⅲ/A1</t>
  </si>
  <si>
    <t>夹套容器</t>
  </si>
  <si>
    <t>外伴管</t>
  </si>
  <si>
    <t>严重湿H2S腐蚀</t>
  </si>
  <si>
    <t>高度危害</t>
  </si>
  <si>
    <t>Ⅲ/A2</t>
  </si>
  <si>
    <t>D=直径</t>
  </si>
  <si>
    <t>大型储罐</t>
  </si>
  <si>
    <t>内伴管</t>
  </si>
  <si>
    <t>NH3腐蚀</t>
  </si>
  <si>
    <t>极度危害</t>
  </si>
  <si>
    <t>Ⅲ/A3</t>
  </si>
  <si>
    <t>L=长度</t>
  </si>
  <si>
    <t>球罐</t>
  </si>
  <si>
    <t>内浮头</t>
  </si>
  <si>
    <t>氯离子腐蚀</t>
  </si>
  <si>
    <t>Ⅱ/A3</t>
  </si>
  <si>
    <t>C=壁厚</t>
  </si>
  <si>
    <t>疲劳容器</t>
  </si>
  <si>
    <t>组合件</t>
  </si>
  <si>
    <t>Ⅰ/A3</t>
  </si>
  <si>
    <t>管板</t>
  </si>
  <si>
    <t>Ⅱ/A1</t>
  </si>
  <si>
    <t>U型管</t>
  </si>
  <si>
    <t>Ⅰ/SAD</t>
  </si>
  <si>
    <t>换热管</t>
  </si>
  <si>
    <t>Ⅱ/SAD</t>
  </si>
  <si>
    <t>Ⅲ/SAD</t>
  </si>
  <si>
    <t>模 拟 界 面</t>
  </si>
  <si>
    <t>氢腐蚀 氯离子腐蚀</t>
  </si>
  <si>
    <t>易爆 高度危害</t>
  </si>
  <si>
    <t>设计温度</t>
  </si>
  <si>
    <t>-20/300</t>
  </si>
  <si>
    <t>℃</t>
  </si>
  <si>
    <t>设计压力</t>
  </si>
  <si>
    <t>4.0/-0.1</t>
  </si>
  <si>
    <t>MPa</t>
  </si>
  <si>
    <t>直径</t>
  </si>
  <si>
    <t>mm</t>
  </si>
  <si>
    <t>长度</t>
  </si>
  <si>
    <t>壁厚</t>
  </si>
  <si>
    <t>返回的数据示例</t>
  </si>
  <si>
    <t>[2, 0, [1, 3], [2, 4], 4, [-20, 300], [4.0, -0.1], 3, 7, 2000, 30000, 20]</t>
  </si>
  <si>
    <t>ID</t>
  </si>
  <si>
    <t>Mtype</t>
  </si>
  <si>
    <t>Mname</t>
  </si>
  <si>
    <t>Q245R</t>
  </si>
  <si>
    <t>不锈钢复合层</t>
  </si>
  <si>
    <t>S11306</t>
  </si>
  <si>
    <t>Q345R</t>
  </si>
  <si>
    <t>S11348</t>
  </si>
  <si>
    <t>Q370R</t>
  </si>
  <si>
    <t>S11972</t>
  </si>
  <si>
    <t>18MnMoNbR</t>
  </si>
  <si>
    <t>S21953</t>
  </si>
  <si>
    <t>13MnNiMoR</t>
  </si>
  <si>
    <t>S22253</t>
  </si>
  <si>
    <t>15CrMoR</t>
  </si>
  <si>
    <t>S22053</t>
  </si>
  <si>
    <t>14Cr1MoR</t>
  </si>
  <si>
    <t>S30408</t>
  </si>
  <si>
    <t>12Cr2Mo1R</t>
  </si>
  <si>
    <t>S30403</t>
  </si>
  <si>
    <t>12Cr1Mo1VR</t>
  </si>
  <si>
    <t>S30409</t>
  </si>
  <si>
    <t>16MnDR</t>
  </si>
  <si>
    <t>S31008</t>
  </si>
  <si>
    <t>15MnNiDR</t>
  </si>
  <si>
    <t>S31608</t>
  </si>
  <si>
    <t>15MnNiNbDR</t>
  </si>
  <si>
    <t>S31603</t>
  </si>
  <si>
    <t>09MnNiDR</t>
  </si>
  <si>
    <t>S31668</t>
  </si>
  <si>
    <t>08Ni3DR</t>
  </si>
  <si>
    <t>S31708</t>
  </si>
  <si>
    <t>06Ni9DR</t>
  </si>
  <si>
    <t>S31703</t>
  </si>
  <si>
    <t>07MnMoVR</t>
  </si>
  <si>
    <t>S32168</t>
  </si>
  <si>
    <t>07MnNiVDR</t>
  </si>
  <si>
    <t>S39042</t>
  </si>
  <si>
    <t>07MnNiMoDR</t>
  </si>
  <si>
    <t>不锈钢堆焊层</t>
  </si>
  <si>
    <t>12MnNiVR</t>
  </si>
  <si>
    <t>镍及镍合金复合层</t>
  </si>
  <si>
    <t>N5</t>
  </si>
  <si>
    <t>N7</t>
  </si>
  <si>
    <t>NCu30</t>
  </si>
  <si>
    <t>NS1101</t>
  </si>
  <si>
    <t>NS1102</t>
  </si>
  <si>
    <t>NS1402</t>
  </si>
  <si>
    <t>NS3102</t>
  </si>
  <si>
    <t>NS3203</t>
  </si>
  <si>
    <t>Q345D</t>
  </si>
  <si>
    <t>NS3304</t>
  </si>
  <si>
    <t>NS3305</t>
  </si>
  <si>
    <t>NS3311</t>
  </si>
  <si>
    <t>12CrMo</t>
  </si>
  <si>
    <t>钛及钛合金复合层</t>
  </si>
  <si>
    <t>TA1</t>
  </si>
  <si>
    <t>15CrMo</t>
  </si>
  <si>
    <t>TA2</t>
  </si>
  <si>
    <t>12Cr1Mo</t>
  </si>
  <si>
    <t>TA3</t>
  </si>
  <si>
    <t>12Cr2Mo</t>
  </si>
  <si>
    <t>TA9</t>
  </si>
  <si>
    <t>12Cr5Mo</t>
  </si>
  <si>
    <t>TA10</t>
  </si>
  <si>
    <t>10</t>
  </si>
  <si>
    <t>铜及铜合金复合层</t>
  </si>
  <si>
    <t>T2</t>
  </si>
  <si>
    <t>TU1</t>
  </si>
  <si>
    <t>H68</t>
  </si>
  <si>
    <t>Q345E</t>
  </si>
  <si>
    <t>H62</t>
  </si>
  <si>
    <t>12Cr1MoVG</t>
  </si>
  <si>
    <t>HSn62-1</t>
  </si>
  <si>
    <t>08Cr2ALMo</t>
  </si>
  <si>
    <t>QSn6.5-0.1</t>
  </si>
  <si>
    <t>09CrCuSb</t>
  </si>
  <si>
    <t>QA19-2</t>
  </si>
  <si>
    <t>09MnD</t>
  </si>
  <si>
    <t>B19</t>
  </si>
  <si>
    <t>09MnNiD</t>
  </si>
  <si>
    <t>BFe10-1-1</t>
  </si>
  <si>
    <t>12Cr2Mo1</t>
  </si>
  <si>
    <t>BFe30-1-2</t>
  </si>
  <si>
    <t>锆材复合层</t>
  </si>
  <si>
    <t>Zr-1</t>
  </si>
  <si>
    <t>Zr-3</t>
  </si>
  <si>
    <t>Zr-5</t>
  </si>
  <si>
    <t>衬环</t>
  </si>
  <si>
    <t>垫板</t>
  </si>
  <si>
    <t>16Mn</t>
  </si>
  <si>
    <t>20MnMo</t>
  </si>
  <si>
    <t>20MnMoNb</t>
  </si>
  <si>
    <t>20MnNiMo</t>
  </si>
  <si>
    <t>35CrMo</t>
  </si>
  <si>
    <t>14Cr1Mo</t>
  </si>
  <si>
    <t>12Cr1MoV</t>
  </si>
  <si>
    <t>12Cr2Mo1V</t>
  </si>
  <si>
    <t>12Cr3Mo1V</t>
  </si>
  <si>
    <t>16MnD</t>
  </si>
  <si>
    <t>20MnMoD</t>
  </si>
  <si>
    <t>08MnNiMoVD</t>
  </si>
  <si>
    <t>10Ni3MoVD</t>
  </si>
  <si>
    <t>08Ni3D</t>
  </si>
  <si>
    <t>螺柱</t>
  </si>
  <si>
    <t>40MnB</t>
  </si>
  <si>
    <t>40MnVB</t>
  </si>
  <si>
    <t>40Cr</t>
  </si>
  <si>
    <t>30CrMoA</t>
  </si>
  <si>
    <t>35CrMoA</t>
  </si>
  <si>
    <t>35CrMoVA</t>
  </si>
  <si>
    <t>25Cr2MoVA</t>
  </si>
  <si>
    <t>40CrNiMoA</t>
  </si>
  <si>
    <t>1Cr5Mo</t>
  </si>
  <si>
    <t>Q235A</t>
  </si>
  <si>
    <t>Q235B</t>
  </si>
  <si>
    <t>Q235C</t>
  </si>
  <si>
    <t>15CrMoR(H)</t>
  </si>
  <si>
    <t>14Cr1MoR(H)</t>
  </si>
  <si>
    <t>12Cr2Mo1R(H)</t>
  </si>
  <si>
    <t>12Cr2Mo1VR(H)</t>
  </si>
  <si>
    <t>镍及镍合金</t>
  </si>
  <si>
    <t>钛及钛合金</t>
  </si>
  <si>
    <t>铜及铜合金</t>
  </si>
  <si>
    <t>锆材</t>
  </si>
  <si>
    <t>13  板材08Ni3DR</t>
  </si>
  <si>
    <t>4  不锈钢复合层S21953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</si>
</sst>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charset val="134"/>
      <scheme val="minor"/>
    </font>
    <font>
      <sz val="11"/>
      <color theme="1"/>
      <name val="楷体"/>
      <family val="3"/>
      <charset val="134"/>
    </font>
    <font>
      <sz val="11"/>
      <name val="楷体"/>
      <family val="3"/>
      <charset val="134"/>
    </font>
    <font>
      <b/>
      <sz val="12"/>
      <color theme="8"/>
      <name val="楷体"/>
      <family val="3"/>
      <charset val="134"/>
    </font>
    <font>
      <sz val="12"/>
      <name val="楷体"/>
      <family val="3"/>
      <charset val="134"/>
    </font>
    <font>
      <sz val="12"/>
      <color theme="1"/>
      <name val="楷体"/>
      <family val="3"/>
      <charset val="134"/>
    </font>
    <font>
      <sz val="16"/>
      <color theme="1"/>
      <name val="楷体"/>
      <family val="3"/>
      <charset val="134"/>
    </font>
    <font>
      <sz val="11"/>
      <color theme="1"/>
      <name val="宋体"/>
      <family val="3"/>
      <charset val="134"/>
    </font>
    <font>
      <sz val="12"/>
      <color rgb="FFFF0000"/>
      <name val="楷体"/>
      <family val="3"/>
      <charset val="134"/>
    </font>
    <font>
      <sz val="11"/>
      <color rgb="FFFF0000"/>
      <name val="楷体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1" xfId="0" applyBorder="1"/>
    <xf numFmtId="0" fontId="1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/>
    <xf numFmtId="49" fontId="5" fillId="4" borderId="8" xfId="0" applyNumberFormat="1" applyFont="1" applyFill="1" applyBorder="1" applyAlignment="1">
      <alignment horizontal="center" wrapText="1"/>
    </xf>
    <xf numFmtId="0" fontId="0" fillId="0" borderId="9" xfId="0" applyBorder="1"/>
    <xf numFmtId="49" fontId="5" fillId="4" borderId="12" xfId="0" applyNumberFormat="1" applyFont="1" applyFill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distributed"/>
    </xf>
    <xf numFmtId="49" fontId="1" fillId="0" borderId="11" xfId="0" applyNumberFormat="1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49" fontId="1" fillId="0" borderId="1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quotePrefix="1" applyFont="1" applyFill="1" applyBorder="1" applyAlignment="1">
      <alignment horizontal="center" vertical="center" wrapText="1"/>
    </xf>
    <xf numFmtId="58" fontId="1" fillId="0" borderId="1" xfId="0" quotePrefix="1" applyNumberFormat="1" applyFont="1" applyBorder="1" applyAlignment="1">
      <alignment horizontal="center" vertical="center" wrapText="1"/>
    </xf>
    <xf numFmtId="0" fontId="1" fillId="0" borderId="1" xfId="0" quotePrefix="1" applyFont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vertical="center"/>
    </xf>
    <xf numFmtId="0" fontId="1" fillId="0" borderId="1" xfId="0" quotePrefix="1" applyFont="1" applyFill="1" applyBorder="1" applyAlignment="1">
      <alignment vertical="center" shrinkToFit="1"/>
    </xf>
    <xf numFmtId="0" fontId="5" fillId="4" borderId="12" xfId="0" applyNumberFormat="1" applyFont="1" applyFill="1" applyBorder="1" applyAlignment="1">
      <alignment horizontal="center" wrapText="1"/>
    </xf>
    <xf numFmtId="0" fontId="5" fillId="4" borderId="17" xfId="0" applyNumberFormat="1" applyFont="1" applyFill="1" applyBorder="1" applyAlignment="1">
      <alignment horizontal="center" wrapText="1"/>
    </xf>
    <xf numFmtId="0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right"/>
    </xf>
    <xf numFmtId="0" fontId="5" fillId="0" borderId="11" xfId="0" applyFont="1" applyBorder="1" applyAlignment="1">
      <alignment horizontal="right"/>
    </xf>
    <xf numFmtId="0" fontId="5" fillId="0" borderId="15" xfId="0" applyFont="1" applyBorder="1" applyAlignment="1">
      <alignment horizontal="right"/>
    </xf>
    <xf numFmtId="0" fontId="5" fillId="0" borderId="16" xfId="0" applyFont="1" applyBorder="1" applyAlignment="1">
      <alignment horizontal="right"/>
    </xf>
    <xf numFmtId="0" fontId="0" fillId="0" borderId="0" xfId="0" applyAlignment="1">
      <alignment horizontal="center"/>
    </xf>
    <xf numFmtId="0" fontId="5" fillId="0" borderId="13" xfId="0" applyFont="1" applyBorder="1" applyAlignment="1">
      <alignment horizontal="right"/>
    </xf>
    <xf numFmtId="0" fontId="5" fillId="0" borderId="14" xfId="0" applyFont="1" applyBorder="1" applyAlignment="1">
      <alignment horizontal="right"/>
    </xf>
    <xf numFmtId="0" fontId="6" fillId="3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28</xdr:row>
          <xdr:rowOff>38100</xdr:rowOff>
        </xdr:from>
        <xdr:to>
          <xdr:col>4</xdr:col>
          <xdr:colOff>857250</xdr:colOff>
          <xdr:row>28</xdr:row>
          <xdr:rowOff>352425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38417</xdr:colOff>
      <xdr:row>0</xdr:row>
      <xdr:rowOff>72707</xdr:rowOff>
    </xdr:from>
    <xdr:to>
      <xdr:col>6</xdr:col>
      <xdr:colOff>357187</xdr:colOff>
      <xdr:row>1</xdr:row>
      <xdr:rowOff>164782</xdr:rowOff>
    </xdr:to>
    <xdr:sp macro="" textlink="">
      <xdr:nvSpPr>
        <xdr:cNvPr id="4" name="圆角右箭头 3"/>
        <xdr:cNvSpPr/>
      </xdr:nvSpPr>
      <xdr:spPr>
        <a:xfrm rot="5400000">
          <a:off x="5382260" y="57785"/>
          <a:ext cx="290195" cy="31877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28"/>
  <sheetViews>
    <sheetView workbookViewId="0">
      <selection activeCell="F22" sqref="F22"/>
    </sheetView>
  </sheetViews>
  <sheetFormatPr defaultColWidth="9" defaultRowHeight="14.25" x14ac:dyDescent="0.2"/>
  <cols>
    <col min="2" max="2" width="12.125" customWidth="1"/>
    <col min="3" max="3" width="28.5" customWidth="1"/>
    <col min="4" max="4" width="22.875" customWidth="1"/>
    <col min="5" max="5" width="20.25" customWidth="1"/>
    <col min="6" max="6" width="24.125" customWidth="1"/>
    <col min="9" max="9" width="19.5" customWidth="1"/>
  </cols>
  <sheetData>
    <row r="2" spans="2:10" ht="15" x14ac:dyDescent="0.2">
      <c r="B2" s="10" t="s">
        <v>0</v>
      </c>
      <c r="C2" s="10" t="s">
        <v>1</v>
      </c>
      <c r="D2" s="10" t="s">
        <v>2</v>
      </c>
      <c r="E2" s="10" t="s">
        <v>3</v>
      </c>
      <c r="F2" s="10" t="s">
        <v>4</v>
      </c>
    </row>
    <row r="3" spans="2:10" ht="15" x14ac:dyDescent="0.2">
      <c r="B3" s="10"/>
      <c r="C3" s="10"/>
      <c r="D3" s="10"/>
      <c r="E3" s="10"/>
      <c r="F3" s="10"/>
    </row>
    <row r="5" spans="2:10" x14ac:dyDescent="0.2">
      <c r="B5" s="70" t="s">
        <v>5</v>
      </c>
      <c r="C5" s="69" t="s">
        <v>6</v>
      </c>
      <c r="D5" s="70" t="s">
        <v>7</v>
      </c>
      <c r="E5" s="72" t="s">
        <v>8</v>
      </c>
      <c r="F5" s="73" t="s">
        <v>9</v>
      </c>
      <c r="G5" s="68" t="s">
        <v>10</v>
      </c>
      <c r="H5" s="69" t="s">
        <v>11</v>
      </c>
      <c r="I5" s="31" t="s">
        <v>12</v>
      </c>
      <c r="J5" s="52"/>
    </row>
    <row r="6" spans="2:10" ht="52.5" customHeight="1" x14ac:dyDescent="0.2">
      <c r="B6" s="71"/>
      <c r="C6" s="69"/>
      <c r="D6" s="71"/>
      <c r="E6" s="72"/>
      <c r="F6" s="73"/>
      <c r="G6" s="68"/>
      <c r="H6" s="69"/>
      <c r="I6" s="31" t="s">
        <v>13</v>
      </c>
      <c r="J6" s="32" t="s">
        <v>14</v>
      </c>
    </row>
    <row r="7" spans="2:10" ht="85.5" x14ac:dyDescent="0.2">
      <c r="B7" s="33" t="s">
        <v>15</v>
      </c>
      <c r="C7" s="31" t="s">
        <v>16</v>
      </c>
      <c r="D7" s="31" t="s">
        <v>17</v>
      </c>
      <c r="E7" s="31" t="s">
        <v>18</v>
      </c>
      <c r="F7" s="61" t="s">
        <v>19</v>
      </c>
      <c r="G7" s="51" t="s">
        <v>20</v>
      </c>
      <c r="H7" s="31"/>
      <c r="I7" s="32"/>
      <c r="J7" s="32"/>
    </row>
    <row r="9" spans="2:10" x14ac:dyDescent="0.2">
      <c r="B9">
        <v>18</v>
      </c>
      <c r="C9">
        <v>3</v>
      </c>
    </row>
    <row r="10" spans="2:10" ht="14.1" customHeight="1" x14ac:dyDescent="0.2">
      <c r="B10" s="59" t="s">
        <v>3</v>
      </c>
      <c r="C10" s="11" t="s">
        <v>21</v>
      </c>
      <c r="D10" s="11" t="s">
        <v>22</v>
      </c>
    </row>
    <row r="11" spans="2:10" ht="14.1" customHeight="1" x14ac:dyDescent="0.2">
      <c r="B11" s="11" t="s">
        <v>23</v>
      </c>
      <c r="C11" s="60" t="s">
        <v>24</v>
      </c>
      <c r="D11" s="60"/>
    </row>
    <row r="12" spans="2:10" ht="14.1" customHeight="1" x14ac:dyDescent="0.2">
      <c r="B12" s="11" t="s">
        <v>25</v>
      </c>
      <c r="C12" s="60" t="s">
        <v>26</v>
      </c>
      <c r="D12" s="11"/>
    </row>
    <row r="13" spans="2:10" ht="14.1" customHeight="1" x14ac:dyDescent="0.2">
      <c r="B13" s="11" t="s">
        <v>27</v>
      </c>
      <c r="C13" s="11" t="s">
        <v>28</v>
      </c>
      <c r="D13" s="60" t="s">
        <v>29</v>
      </c>
    </row>
    <row r="14" spans="2:10" ht="14.1" customHeight="1" x14ac:dyDescent="0.2">
      <c r="B14" s="11" t="s">
        <v>30</v>
      </c>
      <c r="C14" s="60" t="s">
        <v>31</v>
      </c>
      <c r="D14" s="60" t="s">
        <v>32</v>
      </c>
    </row>
    <row r="15" spans="2:10" ht="14.1" customHeight="1" x14ac:dyDescent="0.2">
      <c r="B15" s="11" t="s">
        <v>30</v>
      </c>
      <c r="C15" s="60" t="s">
        <v>33</v>
      </c>
      <c r="D15" s="60"/>
    </row>
    <row r="16" spans="2:10" ht="14.1" customHeight="1" x14ac:dyDescent="0.2">
      <c r="B16" s="11" t="s">
        <v>34</v>
      </c>
      <c r="C16" s="62" t="s">
        <v>35</v>
      </c>
      <c r="D16" s="60"/>
    </row>
    <row r="17" spans="2:4" ht="14.1" customHeight="1" x14ac:dyDescent="0.2">
      <c r="B17" s="11" t="s">
        <v>34</v>
      </c>
      <c r="C17" s="62" t="s">
        <v>36</v>
      </c>
      <c r="D17" s="60"/>
    </row>
    <row r="18" spans="2:4" ht="14.1" customHeight="1" x14ac:dyDescent="0.2">
      <c r="B18" s="4" t="s">
        <v>37</v>
      </c>
      <c r="C18" s="62" t="s">
        <v>38</v>
      </c>
      <c r="D18" s="60"/>
    </row>
    <row r="19" spans="2:4" ht="14.1" customHeight="1" x14ac:dyDescent="0.2">
      <c r="B19" s="4" t="s">
        <v>39</v>
      </c>
      <c r="C19" s="62" t="s">
        <v>40</v>
      </c>
      <c r="D19" s="60"/>
    </row>
    <row r="20" spans="2:4" ht="14.1" customHeight="1" x14ac:dyDescent="0.2">
      <c r="B20" s="11" t="s">
        <v>27</v>
      </c>
      <c r="C20" s="63" t="s">
        <v>41</v>
      </c>
      <c r="D20" s="60"/>
    </row>
    <row r="21" spans="2:4" ht="14.1" customHeight="1" x14ac:dyDescent="0.2">
      <c r="B21" s="11" t="s">
        <v>30</v>
      </c>
      <c r="C21" s="60" t="s">
        <v>42</v>
      </c>
      <c r="D21" s="60"/>
    </row>
    <row r="22" spans="2:4" ht="14.1" customHeight="1" x14ac:dyDescent="0.2">
      <c r="B22" s="11" t="s">
        <v>34</v>
      </c>
      <c r="C22" s="11" t="s">
        <v>43</v>
      </c>
      <c r="D22" s="60"/>
    </row>
    <row r="23" spans="2:4" ht="14.1" customHeight="1" x14ac:dyDescent="0.2">
      <c r="B23" s="11" t="s">
        <v>30</v>
      </c>
      <c r="C23" s="11" t="s">
        <v>44</v>
      </c>
      <c r="D23" s="60"/>
    </row>
    <row r="24" spans="2:4" ht="14.1" customHeight="1" x14ac:dyDescent="0.2">
      <c r="B24" s="11" t="s">
        <v>34</v>
      </c>
      <c r="C24" s="11">
        <v>50</v>
      </c>
      <c r="D24" s="60" t="s">
        <v>45</v>
      </c>
    </row>
    <row r="25" spans="2:4" ht="14.1" customHeight="1" x14ac:dyDescent="0.2">
      <c r="B25" s="4" t="s">
        <v>37</v>
      </c>
      <c r="C25" s="11">
        <v>50</v>
      </c>
      <c r="D25" s="60" t="s">
        <v>46</v>
      </c>
    </row>
    <row r="26" spans="2:4" x14ac:dyDescent="0.2">
      <c r="B26" s="11" t="s">
        <v>34</v>
      </c>
      <c r="C26" s="4">
        <v>51</v>
      </c>
      <c r="D26" s="3"/>
    </row>
    <row r="27" spans="2:4" x14ac:dyDescent="0.2">
      <c r="B27" s="11" t="s">
        <v>34</v>
      </c>
      <c r="C27" s="4" t="s">
        <v>47</v>
      </c>
      <c r="D27" s="3"/>
    </row>
    <row r="28" spans="2:4" x14ac:dyDescent="0.2">
      <c r="B28" s="4" t="s">
        <v>37</v>
      </c>
      <c r="C28" s="4" t="s">
        <v>48</v>
      </c>
      <c r="D28" s="3"/>
    </row>
  </sheetData>
  <mergeCells count="7">
    <mergeCell ref="G5:G6"/>
    <mergeCell ref="H5:H6"/>
    <mergeCell ref="B5:B6"/>
    <mergeCell ref="C5:C6"/>
    <mergeCell ref="D5:D6"/>
    <mergeCell ref="E5:E6"/>
    <mergeCell ref="F5:F6"/>
  </mergeCells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R43"/>
  <sheetViews>
    <sheetView zoomScale="70" zoomScaleNormal="70" workbookViewId="0">
      <pane ySplit="3" topLeftCell="A4" activePane="bottomLeft" state="frozen"/>
      <selection pane="bottomLeft" activeCell="C14" sqref="C14"/>
    </sheetView>
  </sheetViews>
  <sheetFormatPr defaultColWidth="9" defaultRowHeight="15" customHeight="1" x14ac:dyDescent="0.2"/>
  <cols>
    <col min="1" max="1" width="6.875" style="22" customWidth="1"/>
    <col min="2" max="2" width="7.25" style="28" customWidth="1"/>
    <col min="3" max="3" width="80.125" style="28" customWidth="1"/>
    <col min="4" max="4" width="42.625" style="28" customWidth="1"/>
    <col min="5" max="5" width="40.375" style="28" customWidth="1"/>
    <col min="6" max="6" width="20.5" style="28" customWidth="1"/>
    <col min="7" max="7" width="12.5" style="28" customWidth="1"/>
    <col min="8" max="8" width="11.75" style="28" customWidth="1"/>
    <col min="9" max="9" width="17.625" style="28" customWidth="1"/>
    <col min="10" max="10" width="17.625" style="29" customWidth="1"/>
    <col min="11" max="11" width="10.125" style="28" customWidth="1"/>
    <col min="12" max="12" width="48.75" style="28" customWidth="1"/>
    <col min="13" max="13" width="23.5" style="28" customWidth="1"/>
    <col min="14" max="14" width="10.625" style="28" customWidth="1"/>
    <col min="15" max="17" width="10.625" style="22" customWidth="1"/>
    <col min="18" max="16384" width="9" style="22"/>
  </cols>
  <sheetData>
    <row r="1" spans="1:16" ht="16.5" customHeight="1" x14ac:dyDescent="0.2">
      <c r="B1" s="30">
        <f>COUNT(B18:B41)</f>
        <v>23</v>
      </c>
      <c r="C1" s="30">
        <v>8</v>
      </c>
      <c r="D1" s="30"/>
      <c r="E1" s="30">
        <v>1</v>
      </c>
      <c r="F1" s="30">
        <v>2</v>
      </c>
      <c r="G1" s="30">
        <v>3</v>
      </c>
      <c r="H1" s="30">
        <v>4</v>
      </c>
      <c r="I1" s="30">
        <v>5</v>
      </c>
      <c r="J1" s="30">
        <v>6</v>
      </c>
      <c r="K1" s="30">
        <v>7</v>
      </c>
      <c r="L1" s="30">
        <v>8</v>
      </c>
      <c r="M1" s="30">
        <v>9</v>
      </c>
      <c r="N1" s="49"/>
      <c r="O1" s="49"/>
      <c r="P1" s="50"/>
    </row>
    <row r="2" spans="1:16" ht="15" customHeight="1" x14ac:dyDescent="0.2">
      <c r="B2" s="69" t="s">
        <v>49</v>
      </c>
      <c r="C2" s="69" t="s">
        <v>50</v>
      </c>
      <c r="D2" s="70" t="s">
        <v>51</v>
      </c>
      <c r="E2" s="70" t="s">
        <v>5</v>
      </c>
      <c r="F2" s="69" t="s">
        <v>6</v>
      </c>
      <c r="G2" s="70" t="s">
        <v>7</v>
      </c>
      <c r="H2" s="72" t="s">
        <v>8</v>
      </c>
      <c r="I2" s="73" t="s">
        <v>9</v>
      </c>
      <c r="J2" s="68" t="s">
        <v>10</v>
      </c>
      <c r="K2" s="69" t="s">
        <v>11</v>
      </c>
      <c r="L2" s="31" t="s">
        <v>12</v>
      </c>
      <c r="M2" s="52"/>
      <c r="N2" s="49"/>
      <c r="O2" s="49"/>
      <c r="P2" s="50"/>
    </row>
    <row r="3" spans="1:16" ht="15" customHeight="1" x14ac:dyDescent="0.2">
      <c r="B3" s="69"/>
      <c r="C3" s="69"/>
      <c r="D3" s="71"/>
      <c r="E3" s="71"/>
      <c r="F3" s="69"/>
      <c r="G3" s="71"/>
      <c r="H3" s="72"/>
      <c r="I3" s="73"/>
      <c r="J3" s="68"/>
      <c r="K3" s="69"/>
      <c r="L3" s="32" t="s">
        <v>13</v>
      </c>
      <c r="M3" s="32" t="s">
        <v>14</v>
      </c>
      <c r="N3" s="49"/>
      <c r="O3" s="49"/>
      <c r="P3" s="50"/>
    </row>
    <row r="4" spans="1:16" ht="76.5" customHeight="1" x14ac:dyDescent="0.2">
      <c r="B4" s="31"/>
      <c r="C4" s="33" t="s">
        <v>52</v>
      </c>
      <c r="D4" s="33"/>
      <c r="E4" s="33" t="s">
        <v>15</v>
      </c>
      <c r="F4" s="31" t="s">
        <v>16</v>
      </c>
      <c r="G4" s="31" t="s">
        <v>17</v>
      </c>
      <c r="H4" s="31" t="s">
        <v>18</v>
      </c>
      <c r="I4" s="61" t="s">
        <v>19</v>
      </c>
      <c r="J4" s="51" t="s">
        <v>20</v>
      </c>
      <c r="K4" s="31"/>
      <c r="L4" s="32"/>
      <c r="M4" s="32"/>
      <c r="N4" s="49"/>
      <c r="O4" s="49"/>
      <c r="P4" s="50"/>
    </row>
    <row r="5" spans="1:16" ht="14.25" x14ac:dyDescent="0.2">
      <c r="B5" s="34"/>
      <c r="C5" s="35"/>
      <c r="D5" s="35"/>
      <c r="E5" s="35"/>
      <c r="F5" s="36"/>
      <c r="G5" s="36"/>
      <c r="H5" s="34"/>
      <c r="I5" s="34"/>
      <c r="J5" s="53"/>
      <c r="K5" s="34"/>
      <c r="L5" s="34"/>
      <c r="M5" s="34"/>
      <c r="N5" s="49"/>
      <c r="O5" s="49"/>
      <c r="P5" s="50"/>
    </row>
    <row r="6" spans="1:16" ht="27" x14ac:dyDescent="0.2">
      <c r="A6" s="37" t="s">
        <v>53</v>
      </c>
      <c r="B6" s="38"/>
      <c r="E6" s="38"/>
      <c r="F6" s="38"/>
      <c r="G6" s="38"/>
      <c r="H6" s="39"/>
      <c r="I6" s="39"/>
      <c r="J6" s="54"/>
      <c r="K6" s="38"/>
      <c r="L6" s="39"/>
      <c r="M6" s="39"/>
      <c r="N6" s="49"/>
      <c r="O6" s="49"/>
      <c r="P6" s="50"/>
    </row>
    <row r="7" spans="1:16" ht="40.5" x14ac:dyDescent="0.2">
      <c r="A7" s="40" t="s">
        <v>54</v>
      </c>
      <c r="B7" s="38">
        <v>1</v>
      </c>
      <c r="C7" s="41" t="s">
        <v>55</v>
      </c>
      <c r="D7" s="41" t="s">
        <v>56</v>
      </c>
      <c r="E7" s="38"/>
      <c r="F7" s="38"/>
      <c r="G7" s="38"/>
      <c r="H7" s="39"/>
      <c r="I7" s="39"/>
      <c r="J7" s="54"/>
      <c r="K7" s="38"/>
      <c r="L7" s="39"/>
      <c r="M7" s="39"/>
      <c r="N7" s="49"/>
      <c r="O7" s="49"/>
      <c r="P7" s="50"/>
    </row>
    <row r="8" spans="1:16" ht="42.75" x14ac:dyDescent="0.2">
      <c r="A8" s="22" t="s">
        <v>57</v>
      </c>
      <c r="B8" s="38">
        <v>2</v>
      </c>
      <c r="C8" s="42" t="s">
        <v>58</v>
      </c>
      <c r="D8" s="42" t="s">
        <v>59</v>
      </c>
      <c r="E8" s="42"/>
      <c r="F8" s="31"/>
      <c r="G8" s="31"/>
      <c r="H8" s="32"/>
      <c r="I8" s="34"/>
      <c r="J8" s="51"/>
      <c r="K8" s="31"/>
      <c r="L8" s="32"/>
      <c r="M8" s="32"/>
      <c r="N8" s="49"/>
      <c r="O8" s="49"/>
      <c r="P8" s="50"/>
    </row>
    <row r="9" spans="1:16" ht="28.5" x14ac:dyDescent="0.2">
      <c r="A9" s="22" t="s">
        <v>60</v>
      </c>
      <c r="B9" s="38">
        <v>3</v>
      </c>
      <c r="C9" s="42" t="s">
        <v>61</v>
      </c>
      <c r="D9" s="42" t="s">
        <v>62</v>
      </c>
      <c r="E9" s="42"/>
      <c r="F9" s="31"/>
      <c r="G9" s="31"/>
      <c r="H9" s="32"/>
      <c r="I9" s="34"/>
      <c r="J9" s="51"/>
      <c r="K9" s="31"/>
      <c r="L9" s="32"/>
      <c r="M9" s="32"/>
      <c r="N9" s="49"/>
      <c r="O9" s="49"/>
      <c r="P9" s="50"/>
    </row>
    <row r="10" spans="1:16" ht="54" x14ac:dyDescent="0.2">
      <c r="A10" s="22" t="s">
        <v>57</v>
      </c>
      <c r="B10" s="38">
        <v>4</v>
      </c>
      <c r="C10" s="43" t="s">
        <v>63</v>
      </c>
      <c r="D10" s="43" t="s">
        <v>64</v>
      </c>
      <c r="E10" s="43"/>
      <c r="F10" s="36"/>
      <c r="G10" s="36"/>
      <c r="H10" s="34"/>
      <c r="I10" s="34"/>
      <c r="J10" s="53">
        <v>138</v>
      </c>
      <c r="K10" s="34"/>
      <c r="L10" s="34"/>
      <c r="M10" s="34"/>
      <c r="N10" s="49"/>
      <c r="O10" s="49"/>
      <c r="P10" s="50"/>
    </row>
    <row r="11" spans="1:16" ht="27" x14ac:dyDescent="0.2">
      <c r="A11" s="22" t="s">
        <v>21</v>
      </c>
      <c r="B11" s="38">
        <v>5</v>
      </c>
      <c r="C11" s="43" t="s">
        <v>65</v>
      </c>
      <c r="D11" s="43" t="s">
        <v>66</v>
      </c>
      <c r="E11" s="43"/>
      <c r="F11" s="36"/>
      <c r="G11" s="36"/>
      <c r="H11" s="34"/>
      <c r="I11" s="34"/>
      <c r="J11" s="53"/>
      <c r="K11" s="34"/>
      <c r="L11" s="34"/>
      <c r="M11" s="34"/>
      <c r="N11" s="49"/>
      <c r="O11" s="49"/>
      <c r="P11" s="50"/>
    </row>
    <row r="12" spans="1:16" ht="27" x14ac:dyDescent="0.2">
      <c r="A12" s="22" t="s">
        <v>21</v>
      </c>
      <c r="B12" s="38">
        <v>6</v>
      </c>
      <c r="C12" s="43" t="s">
        <v>67</v>
      </c>
      <c r="D12" s="43" t="s">
        <v>66</v>
      </c>
      <c r="E12" s="43"/>
      <c r="F12" s="36"/>
      <c r="G12" s="36"/>
      <c r="H12" s="34"/>
      <c r="I12" s="34"/>
      <c r="J12" s="53"/>
      <c r="K12" s="34"/>
      <c r="L12" s="34"/>
      <c r="M12" s="34"/>
      <c r="N12" s="49"/>
      <c r="O12" s="49"/>
      <c r="P12" s="50"/>
    </row>
    <row r="13" spans="1:16" ht="27" x14ac:dyDescent="0.2">
      <c r="A13" s="22" t="s">
        <v>21</v>
      </c>
      <c r="B13" s="38">
        <v>7</v>
      </c>
      <c r="C13" s="43" t="s">
        <v>68</v>
      </c>
      <c r="D13" s="43" t="s">
        <v>69</v>
      </c>
      <c r="E13" s="43"/>
      <c r="F13" s="36"/>
      <c r="G13" s="36"/>
      <c r="H13" s="34"/>
      <c r="I13" s="34"/>
      <c r="J13" s="53"/>
      <c r="K13" s="34"/>
      <c r="L13" s="34"/>
      <c r="M13" s="34"/>
      <c r="N13" s="49"/>
      <c r="O13" s="49"/>
      <c r="P13" s="50"/>
    </row>
    <row r="14" spans="1:16" ht="28.5" x14ac:dyDescent="0.2">
      <c r="A14" s="22" t="s">
        <v>70</v>
      </c>
      <c r="B14" s="38">
        <v>8</v>
      </c>
      <c r="C14" s="42" t="s">
        <v>71</v>
      </c>
      <c r="D14" s="42" t="s">
        <v>72</v>
      </c>
      <c r="E14" s="42"/>
      <c r="F14" s="31"/>
      <c r="G14" s="31"/>
      <c r="H14" s="32"/>
      <c r="I14" s="34"/>
      <c r="J14" s="51"/>
      <c r="K14" s="31"/>
      <c r="L14" s="32"/>
      <c r="M14" s="32"/>
      <c r="N14" s="49"/>
      <c r="O14" s="49"/>
      <c r="P14" s="50"/>
    </row>
    <row r="15" spans="1:16" ht="14.25" x14ac:dyDescent="0.2">
      <c r="A15" s="22" t="s">
        <v>60</v>
      </c>
      <c r="B15" s="38">
        <v>9</v>
      </c>
      <c r="C15" s="42" t="s">
        <v>73</v>
      </c>
      <c r="D15" s="42" t="s">
        <v>74</v>
      </c>
      <c r="E15" s="42"/>
      <c r="F15" s="31"/>
      <c r="G15" s="31"/>
      <c r="H15" s="32"/>
      <c r="I15" s="34"/>
      <c r="J15" s="51"/>
      <c r="K15" s="31"/>
      <c r="L15" s="32"/>
      <c r="M15" s="32"/>
      <c r="N15" s="49"/>
      <c r="O15" s="49"/>
      <c r="P15" s="50"/>
    </row>
    <row r="16" spans="1:16" ht="43.5" customHeight="1" x14ac:dyDescent="0.2">
      <c r="A16" s="22" t="s">
        <v>75</v>
      </c>
      <c r="B16" s="38">
        <v>10</v>
      </c>
      <c r="C16" s="42" t="s">
        <v>76</v>
      </c>
      <c r="D16" s="42" t="s">
        <v>77</v>
      </c>
      <c r="E16" s="42"/>
      <c r="F16" s="31"/>
      <c r="G16" s="31"/>
      <c r="H16" s="32"/>
      <c r="I16" s="34"/>
      <c r="J16" s="51"/>
      <c r="K16" s="31"/>
      <c r="L16" s="32"/>
      <c r="M16" s="32"/>
      <c r="N16" s="49"/>
      <c r="O16" s="49"/>
      <c r="P16" s="50"/>
    </row>
    <row r="17" spans="1:16" ht="28.5" x14ac:dyDescent="0.2">
      <c r="A17" s="22" t="s">
        <v>60</v>
      </c>
      <c r="B17" s="38">
        <v>11</v>
      </c>
      <c r="C17" s="42" t="s">
        <v>78</v>
      </c>
      <c r="D17" s="42" t="s">
        <v>79</v>
      </c>
      <c r="E17" s="42"/>
      <c r="F17" s="31"/>
      <c r="G17" s="31"/>
      <c r="H17" s="32"/>
      <c r="I17" s="34"/>
      <c r="J17" s="51"/>
      <c r="K17" s="31"/>
      <c r="L17" s="32"/>
      <c r="M17" s="32"/>
      <c r="N17" s="49"/>
      <c r="O17" s="49"/>
      <c r="P17" s="50"/>
    </row>
    <row r="18" spans="1:16" ht="27" x14ac:dyDescent="0.2">
      <c r="A18" s="22" t="s">
        <v>60</v>
      </c>
      <c r="B18" s="38">
        <v>12</v>
      </c>
      <c r="C18" s="43" t="s">
        <v>80</v>
      </c>
      <c r="D18" s="43" t="s">
        <v>81</v>
      </c>
      <c r="E18" s="43"/>
      <c r="F18" s="44"/>
      <c r="G18" s="44"/>
      <c r="H18" s="34"/>
      <c r="I18" s="34"/>
      <c r="J18" s="53"/>
      <c r="K18" s="34"/>
      <c r="L18" s="34"/>
      <c r="M18" s="34"/>
      <c r="N18" s="49"/>
      <c r="O18" s="49"/>
      <c r="P18" s="50"/>
    </row>
    <row r="19" spans="1:16" ht="40.5" x14ac:dyDescent="0.2">
      <c r="A19" s="22" t="s">
        <v>60</v>
      </c>
      <c r="B19" s="38">
        <v>13</v>
      </c>
      <c r="C19" s="43" t="s">
        <v>82</v>
      </c>
      <c r="D19" s="43" t="s">
        <v>83</v>
      </c>
      <c r="E19" s="45"/>
      <c r="H19" s="34"/>
      <c r="I19" s="34"/>
      <c r="J19" s="53"/>
      <c r="K19" s="34"/>
      <c r="L19" s="34"/>
      <c r="M19" s="34"/>
      <c r="N19" s="49"/>
      <c r="O19" s="49"/>
      <c r="P19" s="50"/>
    </row>
    <row r="20" spans="1:16" ht="27" x14ac:dyDescent="0.2">
      <c r="A20" s="22" t="s">
        <v>60</v>
      </c>
      <c r="B20" s="38">
        <v>14</v>
      </c>
      <c r="C20" s="43" t="s">
        <v>84</v>
      </c>
      <c r="D20" s="43" t="s">
        <v>85</v>
      </c>
      <c r="E20" s="43"/>
      <c r="F20" s="44"/>
      <c r="G20" s="44"/>
      <c r="H20" s="34"/>
      <c r="I20" s="34"/>
      <c r="J20" s="53"/>
      <c r="K20" s="34"/>
      <c r="L20" s="34"/>
      <c r="M20" s="34"/>
      <c r="N20" s="49"/>
      <c r="O20" s="49"/>
      <c r="P20" s="50"/>
    </row>
    <row r="21" spans="1:16" ht="14.25" x14ac:dyDescent="0.2">
      <c r="A21" s="22" t="s">
        <v>60</v>
      </c>
      <c r="B21" s="38">
        <v>15</v>
      </c>
      <c r="C21" s="43" t="s">
        <v>86</v>
      </c>
      <c r="D21" s="43" t="s">
        <v>87</v>
      </c>
      <c r="E21" s="43"/>
      <c r="F21" s="44"/>
      <c r="G21" s="44"/>
      <c r="H21" s="34"/>
      <c r="I21" s="34"/>
      <c r="J21" s="53">
        <v>5</v>
      </c>
      <c r="K21" s="34"/>
      <c r="L21" s="34" t="s">
        <v>88</v>
      </c>
      <c r="M21" s="34">
        <v>-20</v>
      </c>
      <c r="N21" s="49"/>
      <c r="O21" s="49"/>
      <c r="P21" s="50"/>
    </row>
    <row r="22" spans="1:16" ht="27" x14ac:dyDescent="0.2">
      <c r="A22" s="22" t="s">
        <v>60</v>
      </c>
      <c r="B22" s="38">
        <v>16</v>
      </c>
      <c r="C22" s="43" t="s">
        <v>89</v>
      </c>
      <c r="D22" s="43" t="s">
        <v>90</v>
      </c>
      <c r="E22" s="43"/>
      <c r="F22" s="44"/>
      <c r="G22" s="44"/>
      <c r="H22" s="34"/>
      <c r="I22" s="34"/>
      <c r="J22" s="53">
        <v>6</v>
      </c>
      <c r="K22" s="34"/>
      <c r="L22" s="34" t="s">
        <v>88</v>
      </c>
      <c r="M22" s="34">
        <v>-70</v>
      </c>
      <c r="N22" s="49"/>
      <c r="O22" s="49"/>
      <c r="P22" s="50"/>
    </row>
    <row r="23" spans="1:16" ht="27" x14ac:dyDescent="0.2">
      <c r="A23" s="22" t="s">
        <v>60</v>
      </c>
      <c r="B23" s="38">
        <v>17</v>
      </c>
      <c r="C23" s="43" t="s">
        <v>91</v>
      </c>
      <c r="D23" s="43" t="s">
        <v>92</v>
      </c>
      <c r="E23" s="43"/>
      <c r="F23" s="36"/>
      <c r="G23" s="36"/>
      <c r="H23" s="34"/>
      <c r="I23" s="34"/>
      <c r="J23" s="53"/>
      <c r="K23" s="34"/>
      <c r="L23" s="34"/>
      <c r="M23" s="34"/>
      <c r="N23" s="49"/>
      <c r="O23" s="49"/>
      <c r="P23" s="50"/>
    </row>
    <row r="24" spans="1:16" ht="40.5" x14ac:dyDescent="0.2">
      <c r="A24" s="22" t="s">
        <v>93</v>
      </c>
      <c r="B24" s="38">
        <v>18</v>
      </c>
      <c r="C24" s="43" t="s">
        <v>94</v>
      </c>
      <c r="D24" s="43" t="s">
        <v>95</v>
      </c>
      <c r="E24" s="43"/>
      <c r="F24" s="36"/>
      <c r="G24" s="36"/>
      <c r="H24" s="34"/>
      <c r="I24" s="34"/>
      <c r="J24" s="53"/>
      <c r="K24" s="34"/>
      <c r="L24" s="34"/>
      <c r="M24" s="34"/>
      <c r="N24" s="49"/>
      <c r="O24" s="49"/>
      <c r="P24" s="50"/>
    </row>
    <row r="25" spans="1:16" ht="40.5" x14ac:dyDescent="0.2">
      <c r="A25" s="22" t="s">
        <v>93</v>
      </c>
      <c r="B25" s="38">
        <v>19</v>
      </c>
      <c r="C25" s="43" t="s">
        <v>96</v>
      </c>
      <c r="D25" s="43" t="s">
        <v>97</v>
      </c>
      <c r="E25" s="43"/>
      <c r="F25" s="36"/>
      <c r="G25" s="36"/>
      <c r="H25" s="34"/>
      <c r="I25" s="34"/>
      <c r="J25" s="53"/>
      <c r="K25" s="34"/>
      <c r="L25" s="34"/>
      <c r="M25" s="34"/>
      <c r="N25" s="49"/>
      <c r="O25" s="49"/>
      <c r="P25" s="50"/>
    </row>
    <row r="26" spans="1:16" ht="27" x14ac:dyDescent="0.2">
      <c r="A26" s="22" t="s">
        <v>93</v>
      </c>
      <c r="B26" s="38">
        <v>20</v>
      </c>
      <c r="C26" s="43" t="s">
        <v>98</v>
      </c>
      <c r="D26" s="43" t="s">
        <v>99</v>
      </c>
      <c r="E26" s="43"/>
      <c r="F26" s="36"/>
      <c r="G26" s="36"/>
      <c r="H26" s="34"/>
      <c r="I26" s="34"/>
      <c r="J26" s="53"/>
      <c r="K26" s="34"/>
      <c r="L26" s="34"/>
      <c r="M26" s="34"/>
      <c r="N26" s="49"/>
      <c r="O26" s="49"/>
      <c r="P26" s="50"/>
    </row>
    <row r="27" spans="1:16" ht="14.25" x14ac:dyDescent="0.2">
      <c r="A27" s="22" t="s">
        <v>100</v>
      </c>
      <c r="B27" s="38">
        <v>21</v>
      </c>
      <c r="C27" s="43" t="s">
        <v>101</v>
      </c>
      <c r="D27" s="43" t="s">
        <v>102</v>
      </c>
      <c r="E27" s="43"/>
      <c r="F27" s="36"/>
      <c r="G27" s="36"/>
      <c r="H27" s="34"/>
      <c r="I27" s="34"/>
      <c r="J27" s="53"/>
      <c r="K27" s="34"/>
      <c r="L27" s="34"/>
      <c r="M27" s="34"/>
      <c r="N27" s="49"/>
      <c r="O27" s="49"/>
      <c r="P27" s="50"/>
    </row>
    <row r="28" spans="1:16" ht="27" x14ac:dyDescent="0.2">
      <c r="A28" s="22" t="s">
        <v>103</v>
      </c>
      <c r="B28" s="38">
        <v>22</v>
      </c>
      <c r="C28" s="43" t="s">
        <v>104</v>
      </c>
      <c r="D28" s="43" t="s">
        <v>105</v>
      </c>
      <c r="E28" s="43"/>
      <c r="F28" s="36"/>
      <c r="G28" s="36"/>
      <c r="H28" s="34"/>
      <c r="I28" s="34"/>
      <c r="J28" s="53"/>
      <c r="K28" s="34"/>
      <c r="L28" s="34"/>
      <c r="M28" s="34"/>
      <c r="N28" s="49"/>
      <c r="O28" s="49"/>
      <c r="P28" s="50"/>
    </row>
    <row r="29" spans="1:16" ht="27" x14ac:dyDescent="0.2">
      <c r="A29" s="22" t="s">
        <v>106</v>
      </c>
      <c r="B29" s="38">
        <v>23</v>
      </c>
      <c r="C29" s="43" t="s">
        <v>107</v>
      </c>
      <c r="D29" s="43" t="s">
        <v>108</v>
      </c>
      <c r="E29" s="43"/>
      <c r="F29" s="36"/>
      <c r="G29" s="36"/>
      <c r="H29" s="34"/>
      <c r="I29" s="34"/>
      <c r="J29" s="53"/>
      <c r="K29" s="34"/>
      <c r="L29" s="34"/>
      <c r="M29" s="34"/>
      <c r="N29" s="49"/>
      <c r="O29" s="49"/>
      <c r="P29" s="50"/>
    </row>
    <row r="30" spans="1:16" ht="14.25" x14ac:dyDescent="0.2">
      <c r="A30" s="22" t="s">
        <v>106</v>
      </c>
      <c r="B30" s="38">
        <v>24</v>
      </c>
      <c r="C30" s="43" t="s">
        <v>109</v>
      </c>
      <c r="D30" s="43" t="s">
        <v>110</v>
      </c>
      <c r="E30" s="43"/>
      <c r="F30" s="36"/>
      <c r="G30" s="36"/>
      <c r="H30" s="34"/>
      <c r="I30" s="34"/>
      <c r="J30" s="53"/>
      <c r="K30" s="34"/>
      <c r="L30" s="34"/>
      <c r="M30" s="34"/>
      <c r="N30" s="49"/>
      <c r="O30" s="49"/>
      <c r="P30" s="50"/>
    </row>
    <row r="31" spans="1:16" ht="14.25" x14ac:dyDescent="0.2">
      <c r="A31" s="22" t="s">
        <v>106</v>
      </c>
      <c r="B31" s="38">
        <v>25</v>
      </c>
      <c r="C31" s="43" t="s">
        <v>111</v>
      </c>
      <c r="D31" s="43" t="s">
        <v>112</v>
      </c>
      <c r="E31" s="43"/>
      <c r="F31" s="36"/>
      <c r="G31" s="36"/>
      <c r="H31" s="34"/>
      <c r="I31" s="34"/>
      <c r="J31" s="53"/>
      <c r="K31" s="34"/>
      <c r="L31" s="34"/>
      <c r="M31" s="34"/>
      <c r="N31" s="49"/>
      <c r="O31" s="49"/>
      <c r="P31" s="50"/>
    </row>
    <row r="32" spans="1:16" ht="14.25" x14ac:dyDescent="0.2">
      <c r="B32" s="38"/>
      <c r="C32" s="35"/>
      <c r="D32" s="43"/>
      <c r="E32" s="43"/>
      <c r="F32" s="36"/>
      <c r="G32" s="36"/>
      <c r="H32" s="34"/>
      <c r="I32" s="34"/>
      <c r="J32" s="53"/>
      <c r="K32" s="34"/>
      <c r="L32" s="34"/>
      <c r="M32" s="34"/>
      <c r="N32" s="49"/>
      <c r="O32" s="49"/>
      <c r="P32" s="50"/>
    </row>
    <row r="33" spans="2:18" ht="54" x14ac:dyDescent="0.2">
      <c r="B33" s="34">
        <v>79</v>
      </c>
      <c r="C33" s="46" t="s">
        <v>113</v>
      </c>
      <c r="D33" s="46"/>
      <c r="E33" s="46"/>
      <c r="F33" s="36" t="s">
        <v>114</v>
      </c>
      <c r="G33" s="36"/>
      <c r="H33" s="34"/>
      <c r="I33" s="34"/>
      <c r="J33" s="53" t="s">
        <v>115</v>
      </c>
      <c r="K33" s="34"/>
      <c r="L33" s="34"/>
      <c r="M33" s="34">
        <v>-30</v>
      </c>
      <c r="N33" s="49"/>
      <c r="O33" s="49"/>
      <c r="P33" s="50"/>
    </row>
    <row r="34" spans="2:18" ht="40.5" x14ac:dyDescent="0.2">
      <c r="B34" s="34">
        <v>95</v>
      </c>
      <c r="C34" s="35" t="s">
        <v>116</v>
      </c>
      <c r="D34" s="35"/>
      <c r="E34" s="35"/>
      <c r="F34" s="36" t="s">
        <v>117</v>
      </c>
      <c r="G34" s="36"/>
      <c r="H34" s="34"/>
      <c r="I34" s="34"/>
      <c r="J34" s="55">
        <v>110</v>
      </c>
      <c r="K34" s="34"/>
      <c r="L34" s="47" t="s">
        <v>118</v>
      </c>
      <c r="M34" s="34"/>
      <c r="N34" s="49"/>
      <c r="O34" s="49"/>
      <c r="P34" s="50"/>
    </row>
    <row r="35" spans="2:18" ht="54" x14ac:dyDescent="0.2">
      <c r="B35" s="34">
        <v>114</v>
      </c>
      <c r="C35" s="35" t="s">
        <v>119</v>
      </c>
      <c r="D35" s="35"/>
      <c r="E35" s="35"/>
      <c r="F35" s="36" t="s">
        <v>120</v>
      </c>
      <c r="G35" s="36"/>
      <c r="H35" s="47"/>
      <c r="I35" s="47"/>
      <c r="J35" s="55" t="s">
        <v>121</v>
      </c>
      <c r="K35" s="47"/>
      <c r="L35" s="47"/>
      <c r="M35" s="30"/>
      <c r="Q35" s="57"/>
      <c r="R35" s="58"/>
    </row>
    <row r="36" spans="2:18" ht="54" x14ac:dyDescent="0.2">
      <c r="B36" s="34">
        <v>115</v>
      </c>
      <c r="C36" s="35" t="s">
        <v>122</v>
      </c>
      <c r="D36" s="35"/>
      <c r="E36" s="35"/>
      <c r="F36" s="36" t="s">
        <v>120</v>
      </c>
      <c r="G36" s="36"/>
      <c r="H36" s="47"/>
      <c r="I36" s="47"/>
      <c r="J36" s="55" t="s">
        <v>121</v>
      </c>
      <c r="K36" s="47"/>
      <c r="L36" s="47"/>
      <c r="M36" s="30"/>
      <c r="Q36" s="57"/>
      <c r="R36" s="58"/>
    </row>
    <row r="37" spans="2:18" ht="54" x14ac:dyDescent="0.2">
      <c r="B37" s="34">
        <v>116</v>
      </c>
      <c r="C37" s="35" t="s">
        <v>123</v>
      </c>
      <c r="D37" s="35"/>
      <c r="E37" s="35"/>
      <c r="F37" s="36" t="s">
        <v>120</v>
      </c>
      <c r="G37" s="36"/>
      <c r="H37" s="47"/>
      <c r="I37" s="47"/>
      <c r="J37" s="55" t="s">
        <v>124</v>
      </c>
      <c r="K37" s="47"/>
      <c r="L37" s="47"/>
      <c r="M37" s="30"/>
      <c r="Q37" s="57"/>
      <c r="R37" s="58"/>
    </row>
    <row r="38" spans="2:18" ht="54" x14ac:dyDescent="0.2">
      <c r="B38" s="34">
        <v>117</v>
      </c>
      <c r="C38" s="35" t="s">
        <v>125</v>
      </c>
      <c r="D38" s="35"/>
      <c r="E38" s="35"/>
      <c r="F38" s="36" t="s">
        <v>120</v>
      </c>
      <c r="G38" s="36"/>
      <c r="H38" s="47"/>
      <c r="I38" s="47"/>
      <c r="J38" s="55" t="s">
        <v>126</v>
      </c>
      <c r="K38" s="47"/>
      <c r="L38" s="47"/>
      <c r="M38" s="30"/>
      <c r="Q38" s="57"/>
      <c r="R38" s="58"/>
    </row>
    <row r="39" spans="2:18" ht="54" x14ac:dyDescent="0.2">
      <c r="B39" s="34">
        <v>118</v>
      </c>
      <c r="C39" s="35" t="s">
        <v>127</v>
      </c>
      <c r="D39" s="35"/>
      <c r="E39" s="35"/>
      <c r="F39" s="36" t="s">
        <v>120</v>
      </c>
      <c r="G39" s="36"/>
      <c r="H39" s="47"/>
      <c r="I39" s="47"/>
      <c r="J39" s="55" t="s">
        <v>128</v>
      </c>
      <c r="K39" s="47"/>
      <c r="L39" s="47"/>
      <c r="M39" s="30"/>
      <c r="Q39" s="57"/>
      <c r="R39" s="58"/>
    </row>
    <row r="40" spans="2:18" ht="54" x14ac:dyDescent="0.2">
      <c r="B40" s="34">
        <v>119</v>
      </c>
      <c r="C40" s="35" t="s">
        <v>129</v>
      </c>
      <c r="D40" s="35" t="s">
        <v>130</v>
      </c>
      <c r="E40" s="35"/>
      <c r="F40" s="36" t="s">
        <v>120</v>
      </c>
      <c r="G40" s="36"/>
      <c r="H40" s="47"/>
      <c r="I40" s="47"/>
      <c r="J40" s="56" t="s">
        <v>131</v>
      </c>
      <c r="K40" s="47"/>
      <c r="L40" s="47"/>
      <c r="M40" s="30"/>
      <c r="Q40" s="57"/>
      <c r="R40" s="58"/>
    </row>
    <row r="41" spans="2:18" ht="54" x14ac:dyDescent="0.2">
      <c r="B41" s="34">
        <v>120</v>
      </c>
      <c r="C41" s="35" t="s">
        <v>132</v>
      </c>
      <c r="D41" s="35" t="s">
        <v>133</v>
      </c>
      <c r="E41" s="35"/>
      <c r="F41" s="36" t="s">
        <v>120</v>
      </c>
      <c r="G41" s="36"/>
      <c r="H41" s="47"/>
      <c r="I41" s="47"/>
      <c r="J41" s="56" t="s">
        <v>131</v>
      </c>
      <c r="K41" s="47"/>
      <c r="L41" s="47"/>
      <c r="M41" s="30"/>
      <c r="Q41" s="57"/>
      <c r="R41" s="58"/>
    </row>
    <row r="42" spans="2:18" ht="27" x14ac:dyDescent="0.2">
      <c r="C42" s="35" t="s">
        <v>134</v>
      </c>
    </row>
    <row r="43" spans="2:18" ht="15" customHeight="1" x14ac:dyDescent="0.2">
      <c r="C43" s="48" t="s">
        <v>135</v>
      </c>
    </row>
  </sheetData>
  <sortState ref="C23:C24">
    <sortCondition descending="1" ref="C23:C24"/>
  </sortState>
  <mergeCells count="10">
    <mergeCell ref="G2:G3"/>
    <mergeCell ref="H2:H3"/>
    <mergeCell ref="I2:I3"/>
    <mergeCell ref="J2:J3"/>
    <mergeCell ref="K2:K3"/>
    <mergeCell ref="B2:B3"/>
    <mergeCell ref="C2:C3"/>
    <mergeCell ref="D2:D3"/>
    <mergeCell ref="E2:E3"/>
    <mergeCell ref="F2:F3"/>
  </mergeCells>
  <phoneticPr fontId="10" type="noConversion"/>
  <pageMargins left="0.7" right="0.7" top="0.75" bottom="0.75" header="0.3" footer="0.3"/>
  <pageSetup paperSize="9" scale="55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24"/>
  <sheetViews>
    <sheetView workbookViewId="0">
      <selection activeCell="F31" sqref="F31"/>
    </sheetView>
  </sheetViews>
  <sheetFormatPr defaultColWidth="9" defaultRowHeight="14.25" x14ac:dyDescent="0.2"/>
  <cols>
    <col min="1" max="1" width="5.5" customWidth="1"/>
    <col min="2" max="2" width="7" customWidth="1"/>
    <col min="3" max="3" width="23.375" customWidth="1"/>
    <col min="4" max="4" width="49" customWidth="1"/>
    <col min="5" max="5" width="5.125" customWidth="1"/>
    <col min="6" max="7" width="34.5" customWidth="1"/>
  </cols>
  <sheetData>
    <row r="2" spans="2:12" x14ac:dyDescent="0.2">
      <c r="B2" s="11" t="s">
        <v>136</v>
      </c>
      <c r="C2" s="4" t="s">
        <v>137</v>
      </c>
      <c r="D2" s="11" t="s">
        <v>138</v>
      </c>
      <c r="F2" s="21" t="s">
        <v>139</v>
      </c>
      <c r="H2" s="22"/>
      <c r="I2" s="27"/>
      <c r="J2" s="22"/>
      <c r="K2" s="27"/>
      <c r="L2" s="22"/>
    </row>
    <row r="3" spans="2:12" ht="14.25" customHeight="1" x14ac:dyDescent="0.2">
      <c r="B3" s="11" t="s">
        <v>140</v>
      </c>
      <c r="C3" s="23" t="s">
        <v>141</v>
      </c>
      <c r="D3" s="24" t="s">
        <v>142</v>
      </c>
      <c r="F3" s="25" t="s">
        <v>143</v>
      </c>
      <c r="H3" s="22"/>
      <c r="I3" s="28"/>
      <c r="J3" s="22"/>
      <c r="K3" s="28"/>
      <c r="L3" s="22"/>
    </row>
    <row r="4" spans="2:12" ht="14.25" customHeight="1" x14ac:dyDescent="0.2">
      <c r="B4" s="11" t="s">
        <v>144</v>
      </c>
      <c r="C4" s="23" t="s">
        <v>145</v>
      </c>
      <c r="D4" s="24" t="s">
        <v>142</v>
      </c>
      <c r="F4" s="25" t="s">
        <v>146</v>
      </c>
      <c r="H4" s="22"/>
      <c r="I4" s="27"/>
      <c r="J4" s="22"/>
      <c r="K4" s="27"/>
      <c r="L4" s="22"/>
    </row>
    <row r="5" spans="2:12" x14ac:dyDescent="0.2">
      <c r="B5" s="11" t="s">
        <v>147</v>
      </c>
      <c r="C5" s="26" t="s">
        <v>148</v>
      </c>
      <c r="D5" s="24"/>
      <c r="F5" s="25" t="s">
        <v>149</v>
      </c>
    </row>
    <row r="6" spans="2:12" x14ac:dyDescent="0.2">
      <c r="B6" s="11" t="s">
        <v>150</v>
      </c>
      <c r="C6" s="26" t="s">
        <v>148</v>
      </c>
      <c r="D6" s="24"/>
      <c r="F6" s="25" t="s">
        <v>151</v>
      </c>
    </row>
    <row r="7" spans="2:12" x14ac:dyDescent="0.2">
      <c r="B7" s="11" t="s">
        <v>152</v>
      </c>
      <c r="C7" s="26" t="s">
        <v>8</v>
      </c>
      <c r="D7" s="24" t="s">
        <v>142</v>
      </c>
      <c r="F7" s="25" t="s">
        <v>153</v>
      </c>
    </row>
    <row r="8" spans="2:12" ht="14.25" customHeight="1" x14ac:dyDescent="0.2">
      <c r="B8" s="11" t="s">
        <v>154</v>
      </c>
      <c r="C8" s="23" t="s">
        <v>155</v>
      </c>
      <c r="D8" s="24" t="s">
        <v>142</v>
      </c>
      <c r="F8" s="25" t="s">
        <v>156</v>
      </c>
    </row>
    <row r="9" spans="2:12" ht="14.25" customHeight="1" x14ac:dyDescent="0.2">
      <c r="B9" s="11" t="s">
        <v>157</v>
      </c>
      <c r="C9" s="23" t="s">
        <v>158</v>
      </c>
      <c r="D9" s="24" t="s">
        <v>142</v>
      </c>
      <c r="F9" s="25" t="s">
        <v>159</v>
      </c>
    </row>
    <row r="10" spans="2:12" x14ac:dyDescent="0.2">
      <c r="B10" s="11" t="s">
        <v>160</v>
      </c>
      <c r="C10" s="23" t="s">
        <v>161</v>
      </c>
      <c r="D10" s="24" t="s">
        <v>142</v>
      </c>
      <c r="F10" s="25" t="s">
        <v>162</v>
      </c>
    </row>
    <row r="11" spans="2:12" ht="14.25" customHeight="1" x14ac:dyDescent="0.2">
      <c r="B11" s="11" t="s">
        <v>163</v>
      </c>
      <c r="C11" s="23" t="s">
        <v>164</v>
      </c>
      <c r="D11" s="24" t="s">
        <v>142</v>
      </c>
      <c r="F11" s="25" t="s">
        <v>165</v>
      </c>
    </row>
    <row r="12" spans="2:12" x14ac:dyDescent="0.2">
      <c r="B12" s="11" t="s">
        <v>166</v>
      </c>
      <c r="C12" s="23" t="s">
        <v>167</v>
      </c>
      <c r="D12" s="24" t="s">
        <v>142</v>
      </c>
      <c r="F12" s="25" t="s">
        <v>168</v>
      </c>
    </row>
    <row r="13" spans="2:12" x14ac:dyDescent="0.2">
      <c r="B13" s="4" t="s">
        <v>169</v>
      </c>
      <c r="C13" s="26" t="s">
        <v>170</v>
      </c>
      <c r="D13" s="26" t="s">
        <v>142</v>
      </c>
    </row>
    <row r="14" spans="2:12" x14ac:dyDescent="0.2">
      <c r="B14" s="4" t="s">
        <v>171</v>
      </c>
      <c r="C14" s="26" t="s">
        <v>10</v>
      </c>
      <c r="D14" s="26" t="s">
        <v>172</v>
      </c>
    </row>
    <row r="15" spans="2:12" x14ac:dyDescent="0.2">
      <c r="B15" s="4" t="s">
        <v>173</v>
      </c>
      <c r="C15" s="26" t="s">
        <v>11</v>
      </c>
      <c r="D15" s="26" t="s">
        <v>172</v>
      </c>
    </row>
    <row r="16" spans="2:12" x14ac:dyDescent="0.2">
      <c r="B16" s="4" t="s">
        <v>174</v>
      </c>
      <c r="C16" s="26" t="s">
        <v>175</v>
      </c>
      <c r="D16" s="26" t="s">
        <v>142</v>
      </c>
    </row>
    <row r="17" spans="2:4" x14ac:dyDescent="0.2">
      <c r="B17" s="4" t="s">
        <v>176</v>
      </c>
      <c r="C17" s="26" t="s">
        <v>177</v>
      </c>
      <c r="D17" s="26" t="s">
        <v>142</v>
      </c>
    </row>
    <row r="18" spans="2:4" x14ac:dyDescent="0.2">
      <c r="B18" s="4" t="s">
        <v>178</v>
      </c>
      <c r="C18" s="26" t="s">
        <v>179</v>
      </c>
      <c r="D18" s="26" t="s">
        <v>142</v>
      </c>
    </row>
    <row r="19" spans="2:4" x14ac:dyDescent="0.2">
      <c r="B19" s="4" t="s">
        <v>180</v>
      </c>
      <c r="C19" s="26" t="s">
        <v>181</v>
      </c>
      <c r="D19" s="64" t="s">
        <v>182</v>
      </c>
    </row>
    <row r="20" spans="2:4" ht="14.25" customHeight="1" x14ac:dyDescent="0.2">
      <c r="B20" s="4" t="s">
        <v>183</v>
      </c>
      <c r="C20" s="26" t="s">
        <v>184</v>
      </c>
      <c r="D20" s="64" t="s">
        <v>185</v>
      </c>
    </row>
    <row r="21" spans="2:4" x14ac:dyDescent="0.2">
      <c r="B21" s="4" t="s">
        <v>186</v>
      </c>
      <c r="C21" s="26" t="s">
        <v>148</v>
      </c>
      <c r="D21" s="26"/>
    </row>
    <row r="22" spans="2:4" x14ac:dyDescent="0.2">
      <c r="B22" s="4" t="s">
        <v>187</v>
      </c>
      <c r="C22" s="26" t="s">
        <v>188</v>
      </c>
      <c r="D22" s="65" t="s">
        <v>189</v>
      </c>
    </row>
    <row r="23" spans="2:4" x14ac:dyDescent="0.2">
      <c r="B23" s="4" t="s">
        <v>190</v>
      </c>
      <c r="C23" s="26" t="s">
        <v>191</v>
      </c>
      <c r="D23" s="65" t="s">
        <v>192</v>
      </c>
    </row>
    <row r="24" spans="2:4" x14ac:dyDescent="0.2">
      <c r="B24" s="4" t="s">
        <v>193</v>
      </c>
      <c r="C24" s="26" t="s">
        <v>194</v>
      </c>
      <c r="D24" s="65" t="s">
        <v>195</v>
      </c>
    </row>
  </sheetData>
  <phoneticPr fontId="1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31"/>
  <sheetViews>
    <sheetView tabSelected="1" zoomScale="115" zoomScaleNormal="115" workbookViewId="0">
      <selection activeCell="J26" sqref="J26"/>
    </sheetView>
  </sheetViews>
  <sheetFormatPr defaultColWidth="8.875" defaultRowHeight="14.25" x14ac:dyDescent="0.2"/>
  <cols>
    <col min="1" max="1" width="5" customWidth="1"/>
    <col min="2" max="2" width="10.5" customWidth="1"/>
    <col min="3" max="3" width="11.875" customWidth="1"/>
    <col min="4" max="4" width="21.5" customWidth="1"/>
    <col min="5" max="5" width="16" customWidth="1"/>
    <col min="6" max="6" width="10.625" customWidth="1"/>
    <col min="7" max="7" width="7" customWidth="1"/>
    <col min="8" max="8" width="15.125" customWidth="1"/>
    <col min="9" max="9" width="12.875" customWidth="1"/>
    <col min="10" max="10" width="15.125" customWidth="1"/>
    <col min="11" max="11" width="12.5" customWidth="1"/>
  </cols>
  <sheetData>
    <row r="1" spans="1:10" ht="15" x14ac:dyDescent="0.2">
      <c r="B1" s="6">
        <v>0</v>
      </c>
      <c r="C1" s="6">
        <v>1</v>
      </c>
      <c r="D1" s="6">
        <v>2</v>
      </c>
      <c r="E1" s="6">
        <v>3</v>
      </c>
      <c r="F1" s="6">
        <v>4</v>
      </c>
      <c r="G1" s="78"/>
    </row>
    <row r="2" spans="1:10" x14ac:dyDescent="0.2">
      <c r="B2" s="7" t="s">
        <v>5</v>
      </c>
      <c r="C2" s="8" t="s">
        <v>6</v>
      </c>
      <c r="D2" s="7" t="s">
        <v>7</v>
      </c>
      <c r="E2" s="9" t="s">
        <v>8</v>
      </c>
      <c r="F2" s="9" t="s">
        <v>9</v>
      </c>
      <c r="G2" s="78"/>
      <c r="H2" s="9" t="s">
        <v>136</v>
      </c>
      <c r="J2" s="9" t="s">
        <v>3</v>
      </c>
    </row>
    <row r="3" spans="1:10" ht="15" x14ac:dyDescent="0.2">
      <c r="A3" s="6">
        <v>0</v>
      </c>
      <c r="B3" s="10" t="s">
        <v>196</v>
      </c>
      <c r="C3" s="10" t="s">
        <v>197</v>
      </c>
      <c r="D3" s="10" t="s">
        <v>198</v>
      </c>
      <c r="E3" s="10" t="s">
        <v>198</v>
      </c>
      <c r="F3" s="10" t="s">
        <v>198</v>
      </c>
      <c r="G3" s="6">
        <v>5</v>
      </c>
      <c r="H3" s="11" t="s">
        <v>199</v>
      </c>
      <c r="J3" s="11" t="s">
        <v>27</v>
      </c>
    </row>
    <row r="4" spans="1:10" ht="15" x14ac:dyDescent="0.2">
      <c r="A4" s="6">
        <v>1</v>
      </c>
      <c r="B4" s="10" t="s">
        <v>200</v>
      </c>
      <c r="C4" s="10" t="s">
        <v>201</v>
      </c>
      <c r="D4" s="10" t="s">
        <v>202</v>
      </c>
      <c r="E4" s="10" t="s">
        <v>203</v>
      </c>
      <c r="F4" s="10" t="s">
        <v>204</v>
      </c>
      <c r="G4" s="6">
        <v>6</v>
      </c>
      <c r="H4" s="11" t="s">
        <v>205</v>
      </c>
      <c r="J4" s="11" t="s">
        <v>30</v>
      </c>
    </row>
    <row r="5" spans="1:10" ht="15" x14ac:dyDescent="0.2">
      <c r="A5" s="6">
        <v>2</v>
      </c>
      <c r="B5" s="10" t="s">
        <v>206</v>
      </c>
      <c r="C5" s="10" t="s">
        <v>207</v>
      </c>
      <c r="D5" s="10" t="s">
        <v>208</v>
      </c>
      <c r="E5" s="10" t="s">
        <v>209</v>
      </c>
      <c r="F5" s="10" t="s">
        <v>210</v>
      </c>
      <c r="G5" s="6">
        <v>7</v>
      </c>
      <c r="H5" s="11" t="s">
        <v>10</v>
      </c>
      <c r="J5" s="11" t="s">
        <v>23</v>
      </c>
    </row>
    <row r="6" spans="1:10" ht="15" x14ac:dyDescent="0.2">
      <c r="A6" s="6">
        <v>3</v>
      </c>
      <c r="B6" s="10" t="s">
        <v>211</v>
      </c>
      <c r="C6" s="10" t="s">
        <v>212</v>
      </c>
      <c r="D6" s="10" t="s">
        <v>213</v>
      </c>
      <c r="E6" s="10" t="s">
        <v>214</v>
      </c>
      <c r="F6" s="10" t="s">
        <v>215</v>
      </c>
      <c r="G6" s="6">
        <v>8</v>
      </c>
      <c r="H6" s="11" t="s">
        <v>11</v>
      </c>
      <c r="J6" s="11" t="s">
        <v>25</v>
      </c>
    </row>
    <row r="7" spans="1:10" ht="15" x14ac:dyDescent="0.2">
      <c r="A7" s="6">
        <v>4</v>
      </c>
      <c r="B7" s="10" t="s">
        <v>216</v>
      </c>
      <c r="C7" s="10" t="s">
        <v>217</v>
      </c>
      <c r="D7" s="10" t="s">
        <v>218</v>
      </c>
      <c r="E7" s="10" t="s">
        <v>219</v>
      </c>
      <c r="F7" s="10" t="s">
        <v>220</v>
      </c>
      <c r="G7" s="6">
        <v>9</v>
      </c>
      <c r="H7" s="11" t="s">
        <v>221</v>
      </c>
      <c r="J7" s="4" t="s">
        <v>39</v>
      </c>
    </row>
    <row r="8" spans="1:10" ht="15" x14ac:dyDescent="0.2">
      <c r="A8" s="6">
        <v>5</v>
      </c>
      <c r="B8" s="10" t="s">
        <v>222</v>
      </c>
      <c r="C8" s="10" t="s">
        <v>223</v>
      </c>
      <c r="D8" s="10" t="s">
        <v>224</v>
      </c>
      <c r="E8" s="10" t="s">
        <v>225</v>
      </c>
      <c r="F8" s="10" t="s">
        <v>226</v>
      </c>
      <c r="G8" s="6">
        <v>10</v>
      </c>
      <c r="H8" s="11" t="s">
        <v>227</v>
      </c>
      <c r="J8" s="11" t="s">
        <v>34</v>
      </c>
    </row>
    <row r="9" spans="1:10" ht="15" x14ac:dyDescent="0.2">
      <c r="A9" s="6">
        <v>6</v>
      </c>
      <c r="B9" s="10" t="s">
        <v>228</v>
      </c>
      <c r="C9" s="10" t="s">
        <v>229</v>
      </c>
      <c r="D9" s="10" t="s">
        <v>230</v>
      </c>
      <c r="E9" s="10"/>
      <c r="F9" s="10" t="s">
        <v>231</v>
      </c>
      <c r="G9" s="6">
        <v>11</v>
      </c>
      <c r="H9" s="11" t="s">
        <v>232</v>
      </c>
      <c r="J9" s="4" t="s">
        <v>37</v>
      </c>
    </row>
    <row r="10" spans="1:10" ht="15" x14ac:dyDescent="0.2">
      <c r="A10" s="6">
        <v>7</v>
      </c>
      <c r="B10" s="10" t="s">
        <v>233</v>
      </c>
      <c r="C10" s="10" t="s">
        <v>234</v>
      </c>
      <c r="D10" s="10"/>
      <c r="E10" s="10"/>
      <c r="F10" s="10" t="s">
        <v>235</v>
      </c>
      <c r="H10" s="11"/>
    </row>
    <row r="11" spans="1:10" ht="15" x14ac:dyDescent="0.2">
      <c r="A11" s="6">
        <v>8</v>
      </c>
      <c r="B11" s="12"/>
      <c r="C11" s="10" t="s">
        <v>236</v>
      </c>
      <c r="D11" s="12"/>
      <c r="E11" s="12"/>
      <c r="F11" s="10" t="s">
        <v>237</v>
      </c>
      <c r="H11" s="11"/>
    </row>
    <row r="12" spans="1:10" ht="15" x14ac:dyDescent="0.2">
      <c r="A12" s="6">
        <v>9</v>
      </c>
      <c r="B12" s="12"/>
      <c r="C12" s="10" t="s">
        <v>238</v>
      </c>
      <c r="D12" s="12"/>
      <c r="E12" s="12"/>
      <c r="F12" s="10" t="s">
        <v>239</v>
      </c>
      <c r="H12" s="11"/>
    </row>
    <row r="13" spans="1:10" ht="15" x14ac:dyDescent="0.2">
      <c r="A13" s="6">
        <v>10</v>
      </c>
      <c r="B13" s="12"/>
      <c r="C13" s="10" t="s">
        <v>240</v>
      </c>
      <c r="D13" s="12"/>
      <c r="E13" s="12"/>
      <c r="F13" s="10" t="s">
        <v>241</v>
      </c>
      <c r="H13" s="11"/>
    </row>
    <row r="14" spans="1:10" ht="15" x14ac:dyDescent="0.2">
      <c r="A14" s="6">
        <v>11</v>
      </c>
      <c r="B14" s="12"/>
      <c r="C14" s="10"/>
      <c r="D14" s="12"/>
      <c r="E14" s="12"/>
      <c r="F14" s="10" t="s">
        <v>242</v>
      </c>
      <c r="H14" s="11"/>
    </row>
    <row r="16" spans="1:10" ht="20.25" x14ac:dyDescent="0.25">
      <c r="B16" s="81" t="s">
        <v>243</v>
      </c>
      <c r="C16" s="82"/>
      <c r="D16" s="82"/>
      <c r="E16" s="83"/>
    </row>
    <row r="17" spans="1:11" ht="15" x14ac:dyDescent="0.2">
      <c r="A17" s="6">
        <v>0</v>
      </c>
      <c r="B17" s="84" t="str">
        <f>B2</f>
        <v>设备类型</v>
      </c>
      <c r="C17" s="85"/>
      <c r="D17" s="13" t="s">
        <v>211</v>
      </c>
      <c r="E17" s="14"/>
    </row>
    <row r="18" spans="1:11" ht="15" x14ac:dyDescent="0.2">
      <c r="A18" s="6">
        <v>1</v>
      </c>
      <c r="B18" s="74" t="str">
        <f>C2</f>
        <v>受压腔类型</v>
      </c>
      <c r="C18" s="75"/>
      <c r="D18" s="15" t="s">
        <v>229</v>
      </c>
      <c r="E18" s="14"/>
      <c r="K18" s="20"/>
    </row>
    <row r="19" spans="1:11" ht="15" x14ac:dyDescent="0.2">
      <c r="A19" s="16">
        <v>2</v>
      </c>
      <c r="B19" s="74" t="str">
        <f>D2</f>
        <v>腐蚀性质</v>
      </c>
      <c r="C19" s="75"/>
      <c r="D19" s="15" t="s">
        <v>244</v>
      </c>
      <c r="E19" s="14"/>
    </row>
    <row r="20" spans="1:11" ht="15" x14ac:dyDescent="0.2">
      <c r="A20" s="6">
        <v>3</v>
      </c>
      <c r="B20" s="74" t="str">
        <f>E2</f>
        <v>介质特性</v>
      </c>
      <c r="C20" s="75"/>
      <c r="D20" s="15" t="s">
        <v>245</v>
      </c>
      <c r="E20" s="14"/>
    </row>
    <row r="21" spans="1:11" ht="15" x14ac:dyDescent="0.2">
      <c r="A21" s="6">
        <v>4</v>
      </c>
      <c r="B21" s="74" t="str">
        <f>F2</f>
        <v>容器类别</v>
      </c>
      <c r="C21" s="75"/>
      <c r="D21" s="15" t="s">
        <v>220</v>
      </c>
      <c r="E21" s="14"/>
    </row>
    <row r="22" spans="1:11" ht="15" x14ac:dyDescent="0.2">
      <c r="A22" s="6">
        <v>5</v>
      </c>
      <c r="B22" s="74" t="s">
        <v>246</v>
      </c>
      <c r="C22" s="75"/>
      <c r="D22" s="15" t="s">
        <v>247</v>
      </c>
      <c r="E22" s="14" t="s">
        <v>248</v>
      </c>
    </row>
    <row r="23" spans="1:11" ht="15" x14ac:dyDescent="0.2">
      <c r="A23" s="6">
        <v>6</v>
      </c>
      <c r="B23" s="74" t="s">
        <v>249</v>
      </c>
      <c r="C23" s="75"/>
      <c r="D23" s="15" t="s">
        <v>250</v>
      </c>
      <c r="E23" s="14" t="s">
        <v>251</v>
      </c>
    </row>
    <row r="24" spans="1:11" ht="15" x14ac:dyDescent="0.2">
      <c r="A24" s="6">
        <v>7</v>
      </c>
      <c r="B24" s="79" t="s">
        <v>10</v>
      </c>
      <c r="C24" s="80"/>
      <c r="D24" s="15" t="s">
        <v>383</v>
      </c>
      <c r="E24" s="14"/>
    </row>
    <row r="25" spans="1:11" ht="29.25" x14ac:dyDescent="0.2">
      <c r="A25" s="6">
        <v>8</v>
      </c>
      <c r="B25" s="79" t="s">
        <v>11</v>
      </c>
      <c r="C25" s="80"/>
      <c r="D25" s="15" t="s">
        <v>384</v>
      </c>
      <c r="E25" s="14"/>
    </row>
    <row r="26" spans="1:11" ht="15" x14ac:dyDescent="0.2">
      <c r="A26" s="6">
        <v>9</v>
      </c>
      <c r="B26" s="74" t="s">
        <v>252</v>
      </c>
      <c r="C26" s="75"/>
      <c r="D26" s="66">
        <v>2000</v>
      </c>
      <c r="E26" s="14" t="s">
        <v>253</v>
      </c>
    </row>
    <row r="27" spans="1:11" ht="15" x14ac:dyDescent="0.2">
      <c r="A27" s="6">
        <v>10</v>
      </c>
      <c r="B27" s="74" t="s">
        <v>254</v>
      </c>
      <c r="C27" s="75"/>
      <c r="D27" s="66">
        <v>8008</v>
      </c>
      <c r="E27" s="14" t="s">
        <v>253</v>
      </c>
    </row>
    <row r="28" spans="1:11" ht="15" x14ac:dyDescent="0.2">
      <c r="A28" s="6">
        <v>11</v>
      </c>
      <c r="B28" s="76" t="s">
        <v>255</v>
      </c>
      <c r="C28" s="77"/>
      <c r="D28" s="67">
        <v>20</v>
      </c>
      <c r="E28" s="14" t="s">
        <v>253</v>
      </c>
    </row>
    <row r="29" spans="1:11" ht="30" customHeight="1" x14ac:dyDescent="0.2">
      <c r="B29" s="17"/>
      <c r="C29" s="18"/>
      <c r="D29" s="18"/>
      <c r="E29" s="19"/>
    </row>
    <row r="30" spans="1:11" x14ac:dyDescent="0.2">
      <c r="B30" t="s">
        <v>256</v>
      </c>
    </row>
    <row r="31" spans="1:11" x14ac:dyDescent="0.2">
      <c r="B31" t="s">
        <v>257</v>
      </c>
    </row>
  </sheetData>
  <mergeCells count="14">
    <mergeCell ref="B26:C26"/>
    <mergeCell ref="B27:C27"/>
    <mergeCell ref="B28:C28"/>
    <mergeCell ref="G1:G2"/>
    <mergeCell ref="B21:C21"/>
    <mergeCell ref="B22:C22"/>
    <mergeCell ref="B23:C23"/>
    <mergeCell ref="B24:C24"/>
    <mergeCell ref="B25:C25"/>
    <mergeCell ref="B16:E16"/>
    <mergeCell ref="B17:C17"/>
    <mergeCell ref="B18:C18"/>
    <mergeCell ref="B19:C19"/>
    <mergeCell ref="B20:C20"/>
  </mergeCells>
  <phoneticPr fontId="10" type="noConversion"/>
  <dataValidations count="3">
    <dataValidation type="list" allowBlank="1" showInputMessage="1" showErrorMessage="1" sqref="D21">
      <formula1>$F$3:$F$14</formula1>
    </dataValidation>
    <dataValidation type="list" allowBlank="1" showInputMessage="1" showErrorMessage="1" sqref="D18">
      <formula1>$C$3:$C$13</formula1>
    </dataValidation>
    <dataValidation type="list" allowBlank="1" showInputMessage="1" showErrorMessage="1" sqref="D17">
      <formula1>$B$3:$B$14</formula1>
    </dataValidation>
  </dataValidations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1</xdr:col>
                <xdr:colOff>28575</xdr:colOff>
                <xdr:row>28</xdr:row>
                <xdr:rowOff>38100</xdr:rowOff>
              </from>
              <to>
                <xdr:col>4</xdr:col>
                <xdr:colOff>857250</xdr:colOff>
                <xdr:row>28</xdr:row>
                <xdr:rowOff>352425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Material!$E$3:$E$174</xm:f>
          </x14:formula1>
          <xm:sqref>D24</xm:sqref>
        </x14:dataValidation>
        <x14:dataValidation type="list" allowBlank="1" showInputMessage="1" showErrorMessage="1">
          <x14:formula1>
            <xm:f>Material!$K$3:$K$87</xm:f>
          </x14:formula1>
          <xm:sqref>D25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K174"/>
  <sheetViews>
    <sheetView workbookViewId="0">
      <selection activeCell="H24" sqref="H24"/>
    </sheetView>
  </sheetViews>
  <sheetFormatPr defaultColWidth="8.875" defaultRowHeight="14.25" x14ac:dyDescent="0.2"/>
  <cols>
    <col min="4" max="4" width="19.375" style="1" customWidth="1"/>
    <col min="5" max="5" width="23" customWidth="1"/>
    <col min="8" max="8" width="7.5" customWidth="1"/>
    <col min="9" max="9" width="17.25" customWidth="1"/>
    <col min="11" max="11" width="23.5" customWidth="1"/>
  </cols>
  <sheetData>
    <row r="2" spans="2:11" x14ac:dyDescent="0.2">
      <c r="B2" t="s">
        <v>258</v>
      </c>
      <c r="C2" t="s">
        <v>259</v>
      </c>
      <c r="D2" s="1" t="s">
        <v>260</v>
      </c>
    </row>
    <row r="3" spans="2:11" x14ac:dyDescent="0.2">
      <c r="B3">
        <v>0</v>
      </c>
      <c r="C3" t="s">
        <v>60</v>
      </c>
      <c r="D3" s="2" t="s">
        <v>261</v>
      </c>
      <c r="E3" s="3" t="str">
        <f>B3&amp;"  "&amp;C3&amp;D3</f>
        <v>0  板材Q245R</v>
      </c>
      <c r="H3" s="4">
        <v>1</v>
      </c>
      <c r="I3" s="4" t="s">
        <v>262</v>
      </c>
      <c r="J3" s="4" t="s">
        <v>263</v>
      </c>
      <c r="K3" s="3" t="str">
        <f>H3&amp;"  "&amp;I3&amp;J3</f>
        <v>1  不锈钢复合层S11306</v>
      </c>
    </row>
    <row r="4" spans="2:11" x14ac:dyDescent="0.2">
      <c r="B4">
        <v>1</v>
      </c>
      <c r="C4" t="s">
        <v>60</v>
      </c>
      <c r="D4" s="2" t="s">
        <v>264</v>
      </c>
      <c r="E4" s="3" t="str">
        <f t="shared" ref="E4:E35" si="0">B4&amp;"  "&amp;C4&amp;D4</f>
        <v>1  板材Q345R</v>
      </c>
      <c r="H4" s="4">
        <v>2</v>
      </c>
      <c r="I4" s="4" t="s">
        <v>262</v>
      </c>
      <c r="J4" s="4" t="s">
        <v>265</v>
      </c>
      <c r="K4" s="3" t="str">
        <f t="shared" ref="K4:K35" si="1">H4&amp;"  "&amp;I4&amp;J4</f>
        <v>2  不锈钢复合层S11348</v>
      </c>
    </row>
    <row r="5" spans="2:11" x14ac:dyDescent="0.2">
      <c r="B5">
        <v>2</v>
      </c>
      <c r="C5" t="s">
        <v>60</v>
      </c>
      <c r="D5" s="2" t="s">
        <v>266</v>
      </c>
      <c r="E5" s="3" t="str">
        <f t="shared" si="0"/>
        <v>2  板材Q370R</v>
      </c>
      <c r="H5" s="4">
        <v>3</v>
      </c>
      <c r="I5" s="4" t="s">
        <v>262</v>
      </c>
      <c r="J5" s="4" t="s">
        <v>267</v>
      </c>
      <c r="K5" s="3" t="str">
        <f t="shared" si="1"/>
        <v>3  不锈钢复合层S11972</v>
      </c>
    </row>
    <row r="6" spans="2:11" x14ac:dyDescent="0.2">
      <c r="B6">
        <v>3</v>
      </c>
      <c r="C6" t="s">
        <v>60</v>
      </c>
      <c r="D6" s="2" t="s">
        <v>268</v>
      </c>
      <c r="E6" s="3" t="str">
        <f t="shared" si="0"/>
        <v>3  板材18MnMoNbR</v>
      </c>
      <c r="H6" s="4">
        <v>4</v>
      </c>
      <c r="I6" s="4" t="s">
        <v>262</v>
      </c>
      <c r="J6" s="4" t="s">
        <v>269</v>
      </c>
      <c r="K6" s="3" t="str">
        <f t="shared" si="1"/>
        <v>4  不锈钢复合层S21953</v>
      </c>
    </row>
    <row r="7" spans="2:11" x14ac:dyDescent="0.2">
      <c r="B7">
        <v>4</v>
      </c>
      <c r="C7" t="s">
        <v>60</v>
      </c>
      <c r="D7" s="2" t="s">
        <v>270</v>
      </c>
      <c r="E7" s="3" t="str">
        <f t="shared" si="0"/>
        <v>4  板材13MnNiMoR</v>
      </c>
      <c r="H7" s="4">
        <v>5</v>
      </c>
      <c r="I7" s="4" t="s">
        <v>262</v>
      </c>
      <c r="J7" s="4" t="s">
        <v>271</v>
      </c>
      <c r="K7" s="3" t="str">
        <f t="shared" si="1"/>
        <v>5  不锈钢复合层S22253</v>
      </c>
    </row>
    <row r="8" spans="2:11" x14ac:dyDescent="0.2">
      <c r="B8">
        <v>5</v>
      </c>
      <c r="C8" t="s">
        <v>60</v>
      </c>
      <c r="D8" s="2" t="s">
        <v>272</v>
      </c>
      <c r="E8" s="3" t="str">
        <f t="shared" si="0"/>
        <v>5  板材15CrMoR</v>
      </c>
      <c r="H8" s="4">
        <v>6</v>
      </c>
      <c r="I8" s="4" t="s">
        <v>262</v>
      </c>
      <c r="J8" s="4" t="s">
        <v>273</v>
      </c>
      <c r="K8" s="3" t="str">
        <f t="shared" si="1"/>
        <v>6  不锈钢复合层S22053</v>
      </c>
    </row>
    <row r="9" spans="2:11" x14ac:dyDescent="0.2">
      <c r="B9">
        <v>6</v>
      </c>
      <c r="C9" t="s">
        <v>60</v>
      </c>
      <c r="D9" s="2" t="s">
        <v>274</v>
      </c>
      <c r="E9" s="3" t="str">
        <f t="shared" si="0"/>
        <v>6  板材14Cr1MoR</v>
      </c>
      <c r="H9" s="4">
        <v>7</v>
      </c>
      <c r="I9" s="4" t="s">
        <v>262</v>
      </c>
      <c r="J9" s="4" t="s">
        <v>275</v>
      </c>
      <c r="K9" s="3" t="str">
        <f t="shared" si="1"/>
        <v>7  不锈钢复合层S30408</v>
      </c>
    </row>
    <row r="10" spans="2:11" x14ac:dyDescent="0.2">
      <c r="B10">
        <v>7</v>
      </c>
      <c r="C10" t="s">
        <v>60</v>
      </c>
      <c r="D10" s="2" t="s">
        <v>276</v>
      </c>
      <c r="E10" s="3" t="str">
        <f t="shared" si="0"/>
        <v>7  板材12Cr2Mo1R</v>
      </c>
      <c r="H10" s="4">
        <v>8</v>
      </c>
      <c r="I10" s="4" t="s">
        <v>262</v>
      </c>
      <c r="J10" s="4" t="s">
        <v>277</v>
      </c>
      <c r="K10" s="3" t="str">
        <f t="shared" si="1"/>
        <v>8  不锈钢复合层S30403</v>
      </c>
    </row>
    <row r="11" spans="2:11" x14ac:dyDescent="0.2">
      <c r="B11">
        <v>8</v>
      </c>
      <c r="C11" t="s">
        <v>60</v>
      </c>
      <c r="D11" s="2" t="s">
        <v>278</v>
      </c>
      <c r="E11" s="3" t="str">
        <f t="shared" si="0"/>
        <v>8  板材12Cr1Mo1VR</v>
      </c>
      <c r="H11" s="4">
        <v>9</v>
      </c>
      <c r="I11" s="4" t="s">
        <v>262</v>
      </c>
      <c r="J11" s="4" t="s">
        <v>279</v>
      </c>
      <c r="K11" s="3" t="str">
        <f t="shared" si="1"/>
        <v>9  不锈钢复合层S30409</v>
      </c>
    </row>
    <row r="12" spans="2:11" x14ac:dyDescent="0.2">
      <c r="B12">
        <v>9</v>
      </c>
      <c r="C12" t="s">
        <v>60</v>
      </c>
      <c r="D12" s="2" t="s">
        <v>280</v>
      </c>
      <c r="E12" s="3" t="str">
        <f t="shared" si="0"/>
        <v>9  板材16MnDR</v>
      </c>
      <c r="H12" s="4">
        <v>10</v>
      </c>
      <c r="I12" s="4" t="s">
        <v>262</v>
      </c>
      <c r="J12" s="4" t="s">
        <v>281</v>
      </c>
      <c r="K12" s="3" t="str">
        <f t="shared" si="1"/>
        <v>10  不锈钢复合层S31008</v>
      </c>
    </row>
    <row r="13" spans="2:11" x14ac:dyDescent="0.2">
      <c r="B13">
        <v>10</v>
      </c>
      <c r="C13" t="s">
        <v>60</v>
      </c>
      <c r="D13" s="2" t="s">
        <v>282</v>
      </c>
      <c r="E13" s="3" t="str">
        <f t="shared" si="0"/>
        <v>10  板材15MnNiDR</v>
      </c>
      <c r="H13" s="4">
        <v>11</v>
      </c>
      <c r="I13" s="4" t="s">
        <v>262</v>
      </c>
      <c r="J13" s="4" t="s">
        <v>283</v>
      </c>
      <c r="K13" s="3" t="str">
        <f t="shared" si="1"/>
        <v>11  不锈钢复合层S31608</v>
      </c>
    </row>
    <row r="14" spans="2:11" x14ac:dyDescent="0.2">
      <c r="B14">
        <v>11</v>
      </c>
      <c r="C14" t="s">
        <v>60</v>
      </c>
      <c r="D14" s="2" t="s">
        <v>284</v>
      </c>
      <c r="E14" s="3" t="str">
        <f t="shared" si="0"/>
        <v>11  板材15MnNiNbDR</v>
      </c>
      <c r="H14" s="4">
        <v>12</v>
      </c>
      <c r="I14" s="4" t="s">
        <v>262</v>
      </c>
      <c r="J14" s="4" t="s">
        <v>285</v>
      </c>
      <c r="K14" s="3" t="str">
        <f t="shared" si="1"/>
        <v>12  不锈钢复合层S31603</v>
      </c>
    </row>
    <row r="15" spans="2:11" x14ac:dyDescent="0.2">
      <c r="B15">
        <v>12</v>
      </c>
      <c r="C15" t="s">
        <v>60</v>
      </c>
      <c r="D15" s="2" t="s">
        <v>286</v>
      </c>
      <c r="E15" s="3" t="str">
        <f t="shared" si="0"/>
        <v>12  板材09MnNiDR</v>
      </c>
      <c r="H15" s="4">
        <v>13</v>
      </c>
      <c r="I15" s="4" t="s">
        <v>262</v>
      </c>
      <c r="J15" s="4" t="s">
        <v>287</v>
      </c>
      <c r="K15" s="3" t="str">
        <f t="shared" si="1"/>
        <v>13  不锈钢复合层S31668</v>
      </c>
    </row>
    <row r="16" spans="2:11" x14ac:dyDescent="0.2">
      <c r="B16">
        <v>13</v>
      </c>
      <c r="C16" t="s">
        <v>60</v>
      </c>
      <c r="D16" s="2" t="s">
        <v>288</v>
      </c>
      <c r="E16" s="3" t="str">
        <f t="shared" si="0"/>
        <v>13  板材08Ni3DR</v>
      </c>
      <c r="H16" s="4">
        <v>14</v>
      </c>
      <c r="I16" s="4" t="s">
        <v>262</v>
      </c>
      <c r="J16" s="4" t="s">
        <v>289</v>
      </c>
      <c r="K16" s="3" t="str">
        <f t="shared" si="1"/>
        <v>14  不锈钢复合层S31708</v>
      </c>
    </row>
    <row r="17" spans="2:11" x14ac:dyDescent="0.2">
      <c r="B17">
        <v>14</v>
      </c>
      <c r="C17" t="s">
        <v>60</v>
      </c>
      <c r="D17" s="2" t="s">
        <v>290</v>
      </c>
      <c r="E17" s="3" t="str">
        <f t="shared" si="0"/>
        <v>14  板材06Ni9DR</v>
      </c>
      <c r="H17" s="4">
        <v>15</v>
      </c>
      <c r="I17" s="4" t="s">
        <v>262</v>
      </c>
      <c r="J17" s="4" t="s">
        <v>291</v>
      </c>
      <c r="K17" s="3" t="str">
        <f t="shared" si="1"/>
        <v>15  不锈钢复合层S31703</v>
      </c>
    </row>
    <row r="18" spans="2:11" x14ac:dyDescent="0.2">
      <c r="B18">
        <v>15</v>
      </c>
      <c r="C18" t="s">
        <v>60</v>
      </c>
      <c r="D18" s="2" t="s">
        <v>292</v>
      </c>
      <c r="E18" s="3" t="str">
        <f t="shared" si="0"/>
        <v>15  板材07MnMoVR</v>
      </c>
      <c r="H18" s="4">
        <v>16</v>
      </c>
      <c r="I18" s="4" t="s">
        <v>262</v>
      </c>
      <c r="J18" s="4" t="s">
        <v>293</v>
      </c>
      <c r="K18" s="3" t="str">
        <f t="shared" si="1"/>
        <v>16  不锈钢复合层S32168</v>
      </c>
    </row>
    <row r="19" spans="2:11" x14ac:dyDescent="0.2">
      <c r="B19">
        <v>16</v>
      </c>
      <c r="C19" t="s">
        <v>60</v>
      </c>
      <c r="D19" s="2" t="s">
        <v>294</v>
      </c>
      <c r="E19" s="3" t="str">
        <f t="shared" si="0"/>
        <v>16  板材07MnNiVDR</v>
      </c>
      <c r="H19" s="4">
        <v>17</v>
      </c>
      <c r="I19" s="4" t="s">
        <v>262</v>
      </c>
      <c r="J19" s="4" t="s">
        <v>295</v>
      </c>
      <c r="K19" s="3" t="str">
        <f t="shared" si="1"/>
        <v>17  不锈钢复合层S39042</v>
      </c>
    </row>
    <row r="20" spans="2:11" x14ac:dyDescent="0.2">
      <c r="B20">
        <v>17</v>
      </c>
      <c r="C20" t="s">
        <v>60</v>
      </c>
      <c r="D20" s="2" t="s">
        <v>296</v>
      </c>
      <c r="E20" s="3" t="str">
        <f t="shared" si="0"/>
        <v>17  板材07MnNiMoDR</v>
      </c>
      <c r="H20" s="4">
        <v>18</v>
      </c>
      <c r="I20" s="4" t="s">
        <v>297</v>
      </c>
      <c r="J20" s="4" t="s">
        <v>275</v>
      </c>
      <c r="K20" s="3" t="str">
        <f t="shared" si="1"/>
        <v>18  不锈钢堆焊层S30408</v>
      </c>
    </row>
    <row r="21" spans="2:11" x14ac:dyDescent="0.2">
      <c r="B21">
        <v>18</v>
      </c>
      <c r="C21" t="s">
        <v>60</v>
      </c>
      <c r="D21" s="2" t="s">
        <v>298</v>
      </c>
      <c r="E21" s="3" t="str">
        <f t="shared" si="0"/>
        <v>18  板材12MnNiVR</v>
      </c>
      <c r="H21" s="4">
        <v>19</v>
      </c>
      <c r="I21" s="4" t="s">
        <v>297</v>
      </c>
      <c r="J21" s="4" t="s">
        <v>277</v>
      </c>
      <c r="K21" s="3" t="str">
        <f t="shared" si="1"/>
        <v>19  不锈钢堆焊层S30403</v>
      </c>
    </row>
    <row r="22" spans="2:11" x14ac:dyDescent="0.2">
      <c r="B22">
        <v>19</v>
      </c>
      <c r="C22" t="s">
        <v>60</v>
      </c>
      <c r="D22" s="2" t="s">
        <v>263</v>
      </c>
      <c r="E22" s="3" t="str">
        <f t="shared" si="0"/>
        <v>19  板材S11306</v>
      </c>
      <c r="H22" s="4">
        <v>20</v>
      </c>
      <c r="I22" s="4" t="s">
        <v>297</v>
      </c>
      <c r="J22" s="4" t="s">
        <v>279</v>
      </c>
      <c r="K22" s="3" t="str">
        <f t="shared" si="1"/>
        <v>20  不锈钢堆焊层S30409</v>
      </c>
    </row>
    <row r="23" spans="2:11" x14ac:dyDescent="0.2">
      <c r="B23">
        <v>20</v>
      </c>
      <c r="C23" t="s">
        <v>60</v>
      </c>
      <c r="D23" s="2" t="s">
        <v>265</v>
      </c>
      <c r="E23" s="3" t="str">
        <f t="shared" si="0"/>
        <v>20  板材S11348</v>
      </c>
      <c r="H23" s="4">
        <v>21</v>
      </c>
      <c r="I23" s="4" t="s">
        <v>297</v>
      </c>
      <c r="J23" s="4" t="s">
        <v>281</v>
      </c>
      <c r="K23" s="3" t="str">
        <f t="shared" si="1"/>
        <v>21  不锈钢堆焊层S31008</v>
      </c>
    </row>
    <row r="24" spans="2:11" x14ac:dyDescent="0.2">
      <c r="B24">
        <v>21</v>
      </c>
      <c r="C24" t="s">
        <v>60</v>
      </c>
      <c r="D24" s="2" t="s">
        <v>267</v>
      </c>
      <c r="E24" s="3" t="str">
        <f t="shared" si="0"/>
        <v>21  板材S11972</v>
      </c>
      <c r="H24" s="4">
        <v>22</v>
      </c>
      <c r="I24" s="4" t="s">
        <v>297</v>
      </c>
      <c r="J24" s="4" t="s">
        <v>283</v>
      </c>
      <c r="K24" s="3" t="str">
        <f t="shared" si="1"/>
        <v>22  不锈钢堆焊层S31608</v>
      </c>
    </row>
    <row r="25" spans="2:11" x14ac:dyDescent="0.2">
      <c r="B25">
        <v>22</v>
      </c>
      <c r="C25" t="s">
        <v>60</v>
      </c>
      <c r="D25" s="2" t="s">
        <v>269</v>
      </c>
      <c r="E25" s="3" t="str">
        <f t="shared" si="0"/>
        <v>22  板材S21953</v>
      </c>
      <c r="H25" s="4">
        <v>23</v>
      </c>
      <c r="I25" s="4" t="s">
        <v>297</v>
      </c>
      <c r="J25" s="4" t="s">
        <v>285</v>
      </c>
      <c r="K25" s="3" t="str">
        <f t="shared" si="1"/>
        <v>23  不锈钢堆焊层S31603</v>
      </c>
    </row>
    <row r="26" spans="2:11" x14ac:dyDescent="0.2">
      <c r="B26">
        <v>23</v>
      </c>
      <c r="C26" t="s">
        <v>60</v>
      </c>
      <c r="D26" s="2" t="s">
        <v>271</v>
      </c>
      <c r="E26" s="3" t="str">
        <f t="shared" si="0"/>
        <v>23  板材S22253</v>
      </c>
      <c r="H26" s="4">
        <v>24</v>
      </c>
      <c r="I26" s="4" t="s">
        <v>297</v>
      </c>
      <c r="J26" s="4" t="s">
        <v>287</v>
      </c>
      <c r="K26" s="3" t="str">
        <f t="shared" si="1"/>
        <v>24  不锈钢堆焊层S31668</v>
      </c>
    </row>
    <row r="27" spans="2:11" x14ac:dyDescent="0.2">
      <c r="B27">
        <v>24</v>
      </c>
      <c r="C27" t="s">
        <v>60</v>
      </c>
      <c r="D27" s="2" t="s">
        <v>273</v>
      </c>
      <c r="E27" s="3" t="str">
        <f t="shared" si="0"/>
        <v>24  板材S22053</v>
      </c>
      <c r="H27" s="4">
        <v>25</v>
      </c>
      <c r="I27" s="4" t="s">
        <v>297</v>
      </c>
      <c r="J27" s="4" t="s">
        <v>291</v>
      </c>
      <c r="K27" s="3" t="str">
        <f t="shared" si="1"/>
        <v>25  不锈钢堆焊层S31703</v>
      </c>
    </row>
    <row r="28" spans="2:11" x14ac:dyDescent="0.2">
      <c r="B28">
        <v>25</v>
      </c>
      <c r="C28" t="s">
        <v>60</v>
      </c>
      <c r="D28" s="2" t="s">
        <v>275</v>
      </c>
      <c r="E28" s="3" t="str">
        <f t="shared" si="0"/>
        <v>25  板材S30408</v>
      </c>
      <c r="H28" s="4">
        <v>26</v>
      </c>
      <c r="I28" s="4" t="s">
        <v>297</v>
      </c>
      <c r="J28" s="4" t="s">
        <v>293</v>
      </c>
      <c r="K28" s="3" t="str">
        <f t="shared" si="1"/>
        <v>26  不锈钢堆焊层S32168</v>
      </c>
    </row>
    <row r="29" spans="2:11" x14ac:dyDescent="0.2">
      <c r="B29">
        <v>26</v>
      </c>
      <c r="C29" t="s">
        <v>60</v>
      </c>
      <c r="D29" s="2" t="s">
        <v>277</v>
      </c>
      <c r="E29" s="3" t="str">
        <f t="shared" si="0"/>
        <v>26  板材S30403</v>
      </c>
      <c r="H29" s="4">
        <v>27</v>
      </c>
      <c r="I29" s="4" t="s">
        <v>297</v>
      </c>
      <c r="J29" s="4" t="s">
        <v>295</v>
      </c>
      <c r="K29" s="3" t="str">
        <f t="shared" si="1"/>
        <v>27  不锈钢堆焊层S39042</v>
      </c>
    </row>
    <row r="30" spans="2:11" x14ac:dyDescent="0.2">
      <c r="B30">
        <v>27</v>
      </c>
      <c r="C30" t="s">
        <v>60</v>
      </c>
      <c r="D30" s="2" t="s">
        <v>279</v>
      </c>
      <c r="E30" s="3" t="str">
        <f t="shared" si="0"/>
        <v>27  板材S30409</v>
      </c>
      <c r="H30" s="4">
        <v>28</v>
      </c>
      <c r="I30" s="4" t="s">
        <v>297</v>
      </c>
      <c r="J30" s="4" t="s">
        <v>269</v>
      </c>
      <c r="K30" s="3" t="str">
        <f t="shared" si="1"/>
        <v>28  不锈钢堆焊层S21953</v>
      </c>
    </row>
    <row r="31" spans="2:11" x14ac:dyDescent="0.2">
      <c r="B31">
        <v>28</v>
      </c>
      <c r="C31" t="s">
        <v>60</v>
      </c>
      <c r="D31" s="2" t="s">
        <v>281</v>
      </c>
      <c r="E31" s="3" t="str">
        <f t="shared" si="0"/>
        <v>28  板材S31008</v>
      </c>
      <c r="H31" s="4">
        <v>29</v>
      </c>
      <c r="I31" s="4" t="s">
        <v>297</v>
      </c>
      <c r="J31" s="4" t="s">
        <v>271</v>
      </c>
      <c r="K31" s="3" t="str">
        <f t="shared" si="1"/>
        <v>29  不锈钢堆焊层S22253</v>
      </c>
    </row>
    <row r="32" spans="2:11" x14ac:dyDescent="0.2">
      <c r="B32">
        <v>29</v>
      </c>
      <c r="C32" t="s">
        <v>60</v>
      </c>
      <c r="D32" s="2" t="s">
        <v>283</v>
      </c>
      <c r="E32" s="3" t="str">
        <f t="shared" si="0"/>
        <v>29  板材S31608</v>
      </c>
      <c r="H32" s="4">
        <v>30</v>
      </c>
      <c r="I32" s="4" t="s">
        <v>297</v>
      </c>
      <c r="J32" s="4" t="s">
        <v>273</v>
      </c>
      <c r="K32" s="3" t="str">
        <f t="shared" si="1"/>
        <v>30  不锈钢堆焊层S22053</v>
      </c>
    </row>
    <row r="33" spans="2:11" x14ac:dyDescent="0.2">
      <c r="B33">
        <v>30</v>
      </c>
      <c r="C33" t="s">
        <v>60</v>
      </c>
      <c r="D33" s="2" t="s">
        <v>285</v>
      </c>
      <c r="E33" s="3" t="str">
        <f t="shared" si="0"/>
        <v>30  板材S31603</v>
      </c>
      <c r="H33" s="4">
        <v>31</v>
      </c>
      <c r="I33" s="4" t="s">
        <v>299</v>
      </c>
      <c r="J33" s="4" t="s">
        <v>300</v>
      </c>
      <c r="K33" s="3" t="str">
        <f t="shared" si="1"/>
        <v>31  镍及镍合金复合层N5</v>
      </c>
    </row>
    <row r="34" spans="2:11" x14ac:dyDescent="0.2">
      <c r="B34">
        <v>31</v>
      </c>
      <c r="C34" t="s">
        <v>60</v>
      </c>
      <c r="D34" s="2" t="s">
        <v>287</v>
      </c>
      <c r="E34" s="3" t="str">
        <f t="shared" si="0"/>
        <v>31  板材S31668</v>
      </c>
      <c r="H34" s="4">
        <v>32</v>
      </c>
      <c r="I34" s="4" t="s">
        <v>299</v>
      </c>
      <c r="J34" s="4" t="s">
        <v>301</v>
      </c>
      <c r="K34" s="3" t="str">
        <f t="shared" si="1"/>
        <v>32  镍及镍合金复合层N7</v>
      </c>
    </row>
    <row r="35" spans="2:11" x14ac:dyDescent="0.2">
      <c r="B35">
        <v>32</v>
      </c>
      <c r="C35" t="s">
        <v>60</v>
      </c>
      <c r="D35" s="2" t="s">
        <v>289</v>
      </c>
      <c r="E35" s="3" t="str">
        <f t="shared" si="0"/>
        <v>32  板材S31708</v>
      </c>
      <c r="H35" s="4">
        <v>33</v>
      </c>
      <c r="I35" s="4" t="s">
        <v>299</v>
      </c>
      <c r="J35" s="4" t="s">
        <v>302</v>
      </c>
      <c r="K35" s="3" t="str">
        <f t="shared" si="1"/>
        <v>33  镍及镍合金复合层NCu30</v>
      </c>
    </row>
    <row r="36" spans="2:11" x14ac:dyDescent="0.2">
      <c r="B36">
        <v>33</v>
      </c>
      <c r="C36" t="s">
        <v>60</v>
      </c>
      <c r="D36" s="2" t="s">
        <v>291</v>
      </c>
      <c r="E36" s="3" t="str">
        <f t="shared" ref="E36:E67" si="2">B36&amp;"  "&amp;C36&amp;D36</f>
        <v>33  板材S31703</v>
      </c>
      <c r="H36" s="4">
        <v>34</v>
      </c>
      <c r="I36" s="4" t="s">
        <v>299</v>
      </c>
      <c r="J36" s="4" t="s">
        <v>303</v>
      </c>
      <c r="K36" s="3" t="str">
        <f t="shared" ref="K36:K67" si="3">H36&amp;"  "&amp;I36&amp;J36</f>
        <v>34  镍及镍合金复合层NS1101</v>
      </c>
    </row>
    <row r="37" spans="2:11" x14ac:dyDescent="0.2">
      <c r="B37">
        <v>34</v>
      </c>
      <c r="C37" t="s">
        <v>60</v>
      </c>
      <c r="D37" s="2" t="s">
        <v>293</v>
      </c>
      <c r="E37" s="3" t="str">
        <f t="shared" si="2"/>
        <v>34  板材S32168</v>
      </c>
      <c r="H37" s="4">
        <v>35</v>
      </c>
      <c r="I37" s="4" t="s">
        <v>299</v>
      </c>
      <c r="J37" s="4" t="s">
        <v>304</v>
      </c>
      <c r="K37" s="3" t="str">
        <f t="shared" si="3"/>
        <v>35  镍及镍合金复合层NS1102</v>
      </c>
    </row>
    <row r="38" spans="2:11" x14ac:dyDescent="0.2">
      <c r="B38">
        <v>35</v>
      </c>
      <c r="C38" t="s">
        <v>60</v>
      </c>
      <c r="D38" s="2" t="s">
        <v>295</v>
      </c>
      <c r="E38" s="3" t="str">
        <f t="shared" si="2"/>
        <v>35  板材S39042</v>
      </c>
      <c r="H38" s="4">
        <v>36</v>
      </c>
      <c r="I38" s="4" t="s">
        <v>299</v>
      </c>
      <c r="J38" s="4" t="s">
        <v>305</v>
      </c>
      <c r="K38" s="3" t="str">
        <f t="shared" si="3"/>
        <v>36  镍及镍合金复合层NS1402</v>
      </c>
    </row>
    <row r="39" spans="2:11" x14ac:dyDescent="0.2">
      <c r="B39">
        <v>36</v>
      </c>
      <c r="C39" t="s">
        <v>93</v>
      </c>
      <c r="D39" s="2">
        <v>10</v>
      </c>
      <c r="E39" s="3" t="str">
        <f t="shared" si="2"/>
        <v>36  管材10</v>
      </c>
      <c r="H39" s="4">
        <v>37</v>
      </c>
      <c r="I39" s="4" t="s">
        <v>299</v>
      </c>
      <c r="J39" s="4" t="s">
        <v>306</v>
      </c>
      <c r="K39" s="3" t="str">
        <f t="shared" si="3"/>
        <v>37  镍及镍合金复合层NS3102</v>
      </c>
    </row>
    <row r="40" spans="2:11" x14ac:dyDescent="0.2">
      <c r="B40">
        <v>37</v>
      </c>
      <c r="C40" t="s">
        <v>93</v>
      </c>
      <c r="D40" s="2">
        <v>20</v>
      </c>
      <c r="E40" s="3" t="str">
        <f t="shared" si="2"/>
        <v>37  管材20</v>
      </c>
      <c r="H40" s="4">
        <v>38</v>
      </c>
      <c r="I40" s="4" t="s">
        <v>299</v>
      </c>
      <c r="J40" s="4" t="s">
        <v>307</v>
      </c>
      <c r="K40" s="3" t="str">
        <f t="shared" si="3"/>
        <v>38  镍及镍合金复合层NS3203</v>
      </c>
    </row>
    <row r="41" spans="2:11" x14ac:dyDescent="0.2">
      <c r="B41">
        <v>38</v>
      </c>
      <c r="C41" t="s">
        <v>93</v>
      </c>
      <c r="D41" s="2" t="s">
        <v>308</v>
      </c>
      <c r="E41" s="3" t="str">
        <f t="shared" si="2"/>
        <v>38  管材Q345D</v>
      </c>
      <c r="H41" s="4">
        <v>39</v>
      </c>
      <c r="I41" s="4" t="s">
        <v>299</v>
      </c>
      <c r="J41" s="4" t="s">
        <v>309</v>
      </c>
      <c r="K41" s="3" t="str">
        <f t="shared" si="3"/>
        <v>39  镍及镍合金复合层NS3304</v>
      </c>
    </row>
    <row r="42" spans="2:11" x14ac:dyDescent="0.2">
      <c r="B42">
        <v>39</v>
      </c>
      <c r="C42" t="s">
        <v>93</v>
      </c>
      <c r="D42" s="2">
        <v>10</v>
      </c>
      <c r="E42" s="3" t="str">
        <f t="shared" si="2"/>
        <v>39  管材10</v>
      </c>
      <c r="H42" s="4">
        <v>40</v>
      </c>
      <c r="I42" s="4" t="s">
        <v>299</v>
      </c>
      <c r="J42" s="4" t="s">
        <v>310</v>
      </c>
      <c r="K42" s="3" t="str">
        <f t="shared" si="3"/>
        <v>40  镍及镍合金复合层NS3305</v>
      </c>
    </row>
    <row r="43" spans="2:11" x14ac:dyDescent="0.2">
      <c r="B43">
        <v>40</v>
      </c>
      <c r="C43" t="s">
        <v>93</v>
      </c>
      <c r="D43" s="2">
        <v>20</v>
      </c>
      <c r="E43" s="3" t="str">
        <f t="shared" si="2"/>
        <v>40  管材20</v>
      </c>
      <c r="H43" s="4">
        <v>41</v>
      </c>
      <c r="I43" s="4" t="s">
        <v>299</v>
      </c>
      <c r="J43" s="4" t="s">
        <v>311</v>
      </c>
      <c r="K43" s="3" t="str">
        <f t="shared" si="3"/>
        <v>41  镍及镍合金复合层NS3311</v>
      </c>
    </row>
    <row r="44" spans="2:11" x14ac:dyDescent="0.2">
      <c r="B44">
        <v>41</v>
      </c>
      <c r="C44" t="s">
        <v>93</v>
      </c>
      <c r="D44" s="2" t="s">
        <v>312</v>
      </c>
      <c r="E44" s="3" t="str">
        <f t="shared" si="2"/>
        <v>41  管材12CrMo</v>
      </c>
      <c r="H44" s="4">
        <v>42</v>
      </c>
      <c r="I44" s="4" t="s">
        <v>313</v>
      </c>
      <c r="J44" s="4" t="s">
        <v>314</v>
      </c>
      <c r="K44" s="3" t="str">
        <f t="shared" si="3"/>
        <v>42  钛及钛合金复合层TA1</v>
      </c>
    </row>
    <row r="45" spans="2:11" x14ac:dyDescent="0.2">
      <c r="B45">
        <v>42</v>
      </c>
      <c r="C45" t="s">
        <v>93</v>
      </c>
      <c r="D45" s="2" t="s">
        <v>315</v>
      </c>
      <c r="E45" s="3" t="str">
        <f t="shared" si="2"/>
        <v>42  管材15CrMo</v>
      </c>
      <c r="H45" s="4">
        <v>43</v>
      </c>
      <c r="I45" s="4" t="s">
        <v>313</v>
      </c>
      <c r="J45" s="4" t="s">
        <v>316</v>
      </c>
      <c r="K45" s="3" t="str">
        <f t="shared" si="3"/>
        <v>43  钛及钛合金复合层TA2</v>
      </c>
    </row>
    <row r="46" spans="2:11" x14ac:dyDescent="0.2">
      <c r="B46">
        <v>43</v>
      </c>
      <c r="C46" t="s">
        <v>93</v>
      </c>
      <c r="D46" s="2" t="s">
        <v>317</v>
      </c>
      <c r="E46" s="3" t="str">
        <f t="shared" si="2"/>
        <v>43  管材12Cr1Mo</v>
      </c>
      <c r="H46" s="4">
        <v>44</v>
      </c>
      <c r="I46" s="4" t="s">
        <v>313</v>
      </c>
      <c r="J46" s="4" t="s">
        <v>318</v>
      </c>
      <c r="K46" s="3" t="str">
        <f t="shared" si="3"/>
        <v>44  钛及钛合金复合层TA3</v>
      </c>
    </row>
    <row r="47" spans="2:11" x14ac:dyDescent="0.2">
      <c r="B47">
        <v>44</v>
      </c>
      <c r="C47" t="s">
        <v>93</v>
      </c>
      <c r="D47" s="2" t="s">
        <v>319</v>
      </c>
      <c r="E47" s="3" t="str">
        <f t="shared" si="2"/>
        <v>44  管材12Cr2Mo</v>
      </c>
      <c r="H47" s="4">
        <v>45</v>
      </c>
      <c r="I47" s="4" t="s">
        <v>313</v>
      </c>
      <c r="J47" s="4" t="s">
        <v>320</v>
      </c>
      <c r="K47" s="3" t="str">
        <f t="shared" si="3"/>
        <v>45  钛及钛合金复合层TA9</v>
      </c>
    </row>
    <row r="48" spans="2:11" x14ac:dyDescent="0.2">
      <c r="B48">
        <v>45</v>
      </c>
      <c r="C48" t="s">
        <v>93</v>
      </c>
      <c r="D48" s="2" t="s">
        <v>321</v>
      </c>
      <c r="E48" s="3" t="str">
        <f t="shared" si="2"/>
        <v>45  管材12Cr5Mo</v>
      </c>
      <c r="H48" s="4">
        <v>46</v>
      </c>
      <c r="I48" s="4" t="s">
        <v>313</v>
      </c>
      <c r="J48" s="4" t="s">
        <v>322</v>
      </c>
      <c r="K48" s="3" t="str">
        <f t="shared" si="3"/>
        <v>46  钛及钛合金复合层TA10</v>
      </c>
    </row>
    <row r="49" spans="2:11" x14ac:dyDescent="0.2">
      <c r="B49">
        <v>46</v>
      </c>
      <c r="C49" t="s">
        <v>93</v>
      </c>
      <c r="D49" s="2" t="s">
        <v>323</v>
      </c>
      <c r="E49" s="3" t="str">
        <f t="shared" si="2"/>
        <v>46  管材10</v>
      </c>
      <c r="H49" s="4">
        <v>47</v>
      </c>
      <c r="I49" s="4" t="s">
        <v>324</v>
      </c>
      <c r="J49" s="4" t="s">
        <v>325</v>
      </c>
      <c r="K49" s="3" t="str">
        <f t="shared" si="3"/>
        <v>47  铜及铜合金复合层T2</v>
      </c>
    </row>
    <row r="50" spans="2:11" x14ac:dyDescent="0.2">
      <c r="B50">
        <v>47</v>
      </c>
      <c r="C50" t="s">
        <v>93</v>
      </c>
      <c r="D50" s="2">
        <v>20</v>
      </c>
      <c r="E50" s="3" t="str">
        <f t="shared" si="2"/>
        <v>47  管材20</v>
      </c>
      <c r="H50" s="4">
        <v>48</v>
      </c>
      <c r="I50" s="4" t="s">
        <v>324</v>
      </c>
      <c r="J50" s="4" t="s">
        <v>326</v>
      </c>
      <c r="K50" s="3" t="str">
        <f t="shared" si="3"/>
        <v>48  铜及铜合金复合层TU1</v>
      </c>
    </row>
    <row r="51" spans="2:11" x14ac:dyDescent="0.2">
      <c r="B51">
        <v>48</v>
      </c>
      <c r="C51" t="s">
        <v>93</v>
      </c>
      <c r="D51" s="2" t="s">
        <v>308</v>
      </c>
      <c r="E51" s="3" t="str">
        <f t="shared" si="2"/>
        <v>48  管材Q345D</v>
      </c>
      <c r="H51" s="4">
        <v>49</v>
      </c>
      <c r="I51" s="4" t="s">
        <v>324</v>
      </c>
      <c r="J51" s="4" t="s">
        <v>327</v>
      </c>
      <c r="K51" s="3" t="str">
        <f t="shared" si="3"/>
        <v>49  铜及铜合金复合层H68</v>
      </c>
    </row>
    <row r="52" spans="2:11" x14ac:dyDescent="0.2">
      <c r="B52">
        <v>49</v>
      </c>
      <c r="C52" t="s">
        <v>93</v>
      </c>
      <c r="D52" s="2" t="s">
        <v>328</v>
      </c>
      <c r="E52" s="3" t="str">
        <f t="shared" si="2"/>
        <v>49  管材Q345E</v>
      </c>
      <c r="H52" s="4">
        <v>50</v>
      </c>
      <c r="I52" s="4" t="s">
        <v>324</v>
      </c>
      <c r="J52" s="4" t="s">
        <v>329</v>
      </c>
      <c r="K52" s="3" t="str">
        <f t="shared" si="3"/>
        <v>50  铜及铜合金复合层H62</v>
      </c>
    </row>
    <row r="53" spans="2:11" x14ac:dyDescent="0.2">
      <c r="B53">
        <v>50</v>
      </c>
      <c r="C53" t="s">
        <v>93</v>
      </c>
      <c r="D53" s="2" t="s">
        <v>330</v>
      </c>
      <c r="E53" s="3" t="str">
        <f t="shared" si="2"/>
        <v>50  管材12Cr1MoVG</v>
      </c>
      <c r="H53" s="4">
        <v>51</v>
      </c>
      <c r="I53" s="4" t="s">
        <v>324</v>
      </c>
      <c r="J53" s="4" t="s">
        <v>331</v>
      </c>
      <c r="K53" s="3" t="str">
        <f t="shared" si="3"/>
        <v>51  铜及铜合金复合层HSn62-1</v>
      </c>
    </row>
    <row r="54" spans="2:11" x14ac:dyDescent="0.2">
      <c r="B54">
        <v>51</v>
      </c>
      <c r="C54" t="s">
        <v>93</v>
      </c>
      <c r="D54" s="2" t="s">
        <v>332</v>
      </c>
      <c r="E54" s="3" t="str">
        <f t="shared" si="2"/>
        <v>51  管材08Cr2ALMo</v>
      </c>
      <c r="H54" s="4">
        <v>52</v>
      </c>
      <c r="I54" s="4" t="s">
        <v>324</v>
      </c>
      <c r="J54" s="4" t="s">
        <v>333</v>
      </c>
      <c r="K54" s="3" t="str">
        <f t="shared" si="3"/>
        <v>52  铜及铜合金复合层QSn6.5-0.1</v>
      </c>
    </row>
    <row r="55" spans="2:11" x14ac:dyDescent="0.2">
      <c r="B55">
        <v>52</v>
      </c>
      <c r="C55" t="s">
        <v>93</v>
      </c>
      <c r="D55" s="2" t="s">
        <v>334</v>
      </c>
      <c r="E55" s="3" t="str">
        <f t="shared" si="2"/>
        <v>52  管材09CrCuSb</v>
      </c>
      <c r="H55" s="4">
        <v>53</v>
      </c>
      <c r="I55" s="4" t="s">
        <v>324</v>
      </c>
      <c r="J55" s="4" t="s">
        <v>335</v>
      </c>
      <c r="K55" s="3" t="str">
        <f t="shared" si="3"/>
        <v>53  铜及铜合金复合层QA19-2</v>
      </c>
    </row>
    <row r="56" spans="2:11" x14ac:dyDescent="0.2">
      <c r="B56">
        <v>53</v>
      </c>
      <c r="C56" t="s">
        <v>93</v>
      </c>
      <c r="D56" s="2" t="s">
        <v>336</v>
      </c>
      <c r="E56" s="3" t="str">
        <f t="shared" si="2"/>
        <v>53  管材09MnD</v>
      </c>
      <c r="H56" s="4">
        <v>54</v>
      </c>
      <c r="I56" s="4" t="s">
        <v>324</v>
      </c>
      <c r="J56" s="4" t="s">
        <v>337</v>
      </c>
      <c r="K56" s="3" t="str">
        <f t="shared" si="3"/>
        <v>54  铜及铜合金复合层B19</v>
      </c>
    </row>
    <row r="57" spans="2:11" x14ac:dyDescent="0.2">
      <c r="B57">
        <v>54</v>
      </c>
      <c r="C57" t="s">
        <v>93</v>
      </c>
      <c r="D57" s="2" t="s">
        <v>338</v>
      </c>
      <c r="E57" s="3" t="str">
        <f t="shared" si="2"/>
        <v>54  管材09MnNiD</v>
      </c>
      <c r="H57" s="4">
        <v>55</v>
      </c>
      <c r="I57" s="4" t="s">
        <v>324</v>
      </c>
      <c r="J57" s="4" t="s">
        <v>339</v>
      </c>
      <c r="K57" s="3" t="str">
        <f t="shared" si="3"/>
        <v>55  铜及铜合金复合层BFe10-1-1</v>
      </c>
    </row>
    <row r="58" spans="2:11" x14ac:dyDescent="0.2">
      <c r="B58">
        <v>55</v>
      </c>
      <c r="C58" t="s">
        <v>93</v>
      </c>
      <c r="D58" s="2" t="s">
        <v>340</v>
      </c>
      <c r="E58" s="3" t="str">
        <f t="shared" si="2"/>
        <v>55  管材12Cr2Mo1</v>
      </c>
      <c r="H58" s="4">
        <v>56</v>
      </c>
      <c r="I58" s="4" t="s">
        <v>324</v>
      </c>
      <c r="J58" s="4" t="s">
        <v>341</v>
      </c>
      <c r="K58" s="3" t="str">
        <f t="shared" si="3"/>
        <v>56  铜及铜合金复合层BFe30-1-2</v>
      </c>
    </row>
    <row r="59" spans="2:11" x14ac:dyDescent="0.2">
      <c r="B59">
        <v>56</v>
      </c>
      <c r="C59" t="s">
        <v>93</v>
      </c>
      <c r="D59" s="2" t="s">
        <v>275</v>
      </c>
      <c r="E59" s="3" t="str">
        <f t="shared" si="2"/>
        <v>56  管材S30408</v>
      </c>
      <c r="H59" s="4">
        <v>57</v>
      </c>
      <c r="I59" s="5" t="s">
        <v>342</v>
      </c>
      <c r="J59" s="4" t="s">
        <v>343</v>
      </c>
      <c r="K59" s="3" t="str">
        <f t="shared" si="3"/>
        <v>57  锆材复合层Zr-1</v>
      </c>
    </row>
    <row r="60" spans="2:11" x14ac:dyDescent="0.2">
      <c r="B60">
        <v>57</v>
      </c>
      <c r="C60" t="s">
        <v>93</v>
      </c>
      <c r="D60" s="2" t="s">
        <v>277</v>
      </c>
      <c r="E60" s="3" t="str">
        <f t="shared" si="2"/>
        <v>57  管材S30403</v>
      </c>
      <c r="H60" s="4">
        <v>58</v>
      </c>
      <c r="I60" s="5" t="s">
        <v>342</v>
      </c>
      <c r="J60" s="4" t="s">
        <v>344</v>
      </c>
      <c r="K60" s="3" t="str">
        <f t="shared" si="3"/>
        <v>58  锆材复合层Zr-3</v>
      </c>
    </row>
    <row r="61" spans="2:11" x14ac:dyDescent="0.2">
      <c r="B61">
        <v>58</v>
      </c>
      <c r="C61" t="s">
        <v>93</v>
      </c>
      <c r="D61" s="2" t="s">
        <v>283</v>
      </c>
      <c r="E61" s="3" t="str">
        <f t="shared" si="2"/>
        <v>58  管材S31608</v>
      </c>
      <c r="H61" s="4">
        <v>59</v>
      </c>
      <c r="I61" s="5" t="s">
        <v>342</v>
      </c>
      <c r="J61" s="4" t="s">
        <v>345</v>
      </c>
      <c r="K61" s="3" t="str">
        <f t="shared" si="3"/>
        <v>59  锆材复合层Zr-5</v>
      </c>
    </row>
    <row r="62" spans="2:11" x14ac:dyDescent="0.2">
      <c r="B62">
        <v>59</v>
      </c>
      <c r="C62" t="s">
        <v>93</v>
      </c>
      <c r="D62" s="2" t="s">
        <v>285</v>
      </c>
      <c r="E62" s="3" t="str">
        <f t="shared" si="2"/>
        <v>59  管材S31603</v>
      </c>
      <c r="H62" s="4">
        <v>60</v>
      </c>
      <c r="I62" s="4" t="s">
        <v>346</v>
      </c>
      <c r="J62" s="4" t="s">
        <v>275</v>
      </c>
      <c r="K62" s="3" t="str">
        <f t="shared" si="3"/>
        <v>60  衬环S30408</v>
      </c>
    </row>
    <row r="63" spans="2:11" x14ac:dyDescent="0.2">
      <c r="B63">
        <v>60</v>
      </c>
      <c r="C63" t="s">
        <v>93</v>
      </c>
      <c r="D63" s="2" t="s">
        <v>293</v>
      </c>
      <c r="E63" s="3" t="str">
        <f t="shared" si="2"/>
        <v>60  管材S32168</v>
      </c>
      <c r="H63" s="4">
        <v>61</v>
      </c>
      <c r="I63" s="4" t="s">
        <v>346</v>
      </c>
      <c r="J63" s="4" t="s">
        <v>277</v>
      </c>
      <c r="K63" s="3" t="str">
        <f t="shared" si="3"/>
        <v>61  衬环S30403</v>
      </c>
    </row>
    <row r="64" spans="2:11" x14ac:dyDescent="0.2">
      <c r="B64">
        <v>61</v>
      </c>
      <c r="C64" t="s">
        <v>93</v>
      </c>
      <c r="D64" s="2" t="s">
        <v>275</v>
      </c>
      <c r="E64" s="3" t="str">
        <f t="shared" si="2"/>
        <v>61  管材S30408</v>
      </c>
      <c r="H64" s="4">
        <v>62</v>
      </c>
      <c r="I64" s="4" t="s">
        <v>346</v>
      </c>
      <c r="J64" s="4" t="s">
        <v>279</v>
      </c>
      <c r="K64" s="3" t="str">
        <f t="shared" si="3"/>
        <v>62  衬环S30409</v>
      </c>
    </row>
    <row r="65" spans="2:11" x14ac:dyDescent="0.2">
      <c r="B65">
        <v>62</v>
      </c>
      <c r="C65" t="s">
        <v>93</v>
      </c>
      <c r="D65" s="2" t="s">
        <v>277</v>
      </c>
      <c r="E65" s="3" t="str">
        <f t="shared" si="2"/>
        <v>62  管材S30403</v>
      </c>
      <c r="H65" s="4">
        <v>63</v>
      </c>
      <c r="I65" s="4" t="s">
        <v>346</v>
      </c>
      <c r="J65" s="4" t="s">
        <v>283</v>
      </c>
      <c r="K65" s="3" t="str">
        <f t="shared" si="3"/>
        <v>63  衬环S31608</v>
      </c>
    </row>
    <row r="66" spans="2:11" x14ac:dyDescent="0.2">
      <c r="B66">
        <v>63</v>
      </c>
      <c r="C66" t="s">
        <v>93</v>
      </c>
      <c r="D66" s="2" t="s">
        <v>293</v>
      </c>
      <c r="E66" s="3" t="str">
        <f t="shared" si="2"/>
        <v>63  管材S32168</v>
      </c>
      <c r="H66" s="4">
        <v>64</v>
      </c>
      <c r="I66" s="4" t="s">
        <v>346</v>
      </c>
      <c r="J66" s="4" t="s">
        <v>285</v>
      </c>
      <c r="K66" s="3" t="str">
        <f t="shared" si="3"/>
        <v>64  衬环S31603</v>
      </c>
    </row>
    <row r="67" spans="2:11" x14ac:dyDescent="0.2">
      <c r="B67">
        <v>64</v>
      </c>
      <c r="C67" t="s">
        <v>93</v>
      </c>
      <c r="D67" s="2" t="s">
        <v>283</v>
      </c>
      <c r="E67" s="3" t="str">
        <f t="shared" si="2"/>
        <v>64  管材S31608</v>
      </c>
      <c r="H67" s="4">
        <v>65</v>
      </c>
      <c r="I67" s="4" t="s">
        <v>346</v>
      </c>
      <c r="J67" s="4" t="s">
        <v>287</v>
      </c>
      <c r="K67" s="3" t="str">
        <f t="shared" si="3"/>
        <v>65  衬环S31668</v>
      </c>
    </row>
    <row r="68" spans="2:11" x14ac:dyDescent="0.2">
      <c r="B68">
        <v>65</v>
      </c>
      <c r="C68" t="s">
        <v>93</v>
      </c>
      <c r="D68" s="2" t="s">
        <v>285</v>
      </c>
      <c r="E68" s="3" t="str">
        <f t="shared" ref="E68:E99" si="4">B68&amp;"  "&amp;C68&amp;D68</f>
        <v>65  管材S31603</v>
      </c>
      <c r="H68" s="4">
        <v>66</v>
      </c>
      <c r="I68" s="4" t="s">
        <v>346</v>
      </c>
      <c r="J68" s="4" t="s">
        <v>293</v>
      </c>
      <c r="K68" s="3" t="str">
        <f t="shared" ref="K68:K87" si="5">H68&amp;"  "&amp;I68&amp;J68</f>
        <v>66  衬环S32168</v>
      </c>
    </row>
    <row r="69" spans="2:11" x14ac:dyDescent="0.2">
      <c r="B69">
        <v>66</v>
      </c>
      <c r="C69" t="s">
        <v>93</v>
      </c>
      <c r="D69" s="2" t="s">
        <v>287</v>
      </c>
      <c r="E69" s="3" t="str">
        <f t="shared" si="4"/>
        <v>66  管材S31668</v>
      </c>
      <c r="H69" s="4">
        <v>67</v>
      </c>
      <c r="I69" s="4" t="s">
        <v>346</v>
      </c>
      <c r="J69" s="4" t="s">
        <v>295</v>
      </c>
      <c r="K69" s="3" t="str">
        <f t="shared" si="5"/>
        <v>67  衬环S39042</v>
      </c>
    </row>
    <row r="70" spans="2:11" x14ac:dyDescent="0.2">
      <c r="B70">
        <v>67</v>
      </c>
      <c r="C70" t="s">
        <v>93</v>
      </c>
      <c r="D70" s="2" t="s">
        <v>289</v>
      </c>
      <c r="E70" s="3" t="str">
        <f t="shared" si="4"/>
        <v>67  管材S31708</v>
      </c>
      <c r="H70" s="4">
        <v>68</v>
      </c>
      <c r="I70" s="4" t="s">
        <v>346</v>
      </c>
      <c r="J70" s="4" t="s">
        <v>314</v>
      </c>
      <c r="K70" s="3" t="str">
        <f t="shared" si="5"/>
        <v>68  衬环TA1</v>
      </c>
    </row>
    <row r="71" spans="2:11" x14ac:dyDescent="0.2">
      <c r="B71">
        <v>68</v>
      </c>
      <c r="C71" t="s">
        <v>93</v>
      </c>
      <c r="D71" s="2" t="s">
        <v>291</v>
      </c>
      <c r="E71" s="3" t="str">
        <f t="shared" si="4"/>
        <v>68  管材S31703</v>
      </c>
      <c r="H71" s="4">
        <v>69</v>
      </c>
      <c r="I71" s="4" t="s">
        <v>346</v>
      </c>
      <c r="J71" s="4" t="s">
        <v>316</v>
      </c>
      <c r="K71" s="3" t="str">
        <f t="shared" si="5"/>
        <v>69  衬环TA2</v>
      </c>
    </row>
    <row r="72" spans="2:11" x14ac:dyDescent="0.2">
      <c r="B72">
        <v>69</v>
      </c>
      <c r="C72" t="s">
        <v>93</v>
      </c>
      <c r="D72" s="2" t="s">
        <v>281</v>
      </c>
      <c r="E72" s="3" t="str">
        <f t="shared" si="4"/>
        <v>69  管材S31008</v>
      </c>
      <c r="H72" s="4">
        <v>70</v>
      </c>
      <c r="I72" s="4" t="s">
        <v>346</v>
      </c>
      <c r="J72" s="4" t="s">
        <v>318</v>
      </c>
      <c r="K72" s="3" t="str">
        <f t="shared" si="5"/>
        <v>70  衬环TA3</v>
      </c>
    </row>
    <row r="73" spans="2:11" x14ac:dyDescent="0.2">
      <c r="B73">
        <v>70</v>
      </c>
      <c r="C73" t="s">
        <v>93</v>
      </c>
      <c r="D73" s="2" t="s">
        <v>279</v>
      </c>
      <c r="E73" s="3" t="str">
        <f t="shared" si="4"/>
        <v>70  管材S30409</v>
      </c>
      <c r="H73" s="4">
        <v>71</v>
      </c>
      <c r="I73" s="4" t="s">
        <v>346</v>
      </c>
      <c r="J73" s="4" t="s">
        <v>320</v>
      </c>
      <c r="K73" s="3" t="str">
        <f t="shared" si="5"/>
        <v>71  衬环TA9</v>
      </c>
    </row>
    <row r="74" spans="2:11" x14ac:dyDescent="0.2">
      <c r="B74">
        <v>71</v>
      </c>
      <c r="C74" t="s">
        <v>93</v>
      </c>
      <c r="D74" s="2" t="s">
        <v>275</v>
      </c>
      <c r="E74" s="3" t="str">
        <f t="shared" si="4"/>
        <v>71  管材S30408</v>
      </c>
      <c r="H74" s="4">
        <v>72</v>
      </c>
      <c r="I74" s="4" t="s">
        <v>346</v>
      </c>
      <c r="J74" s="4" t="s">
        <v>322</v>
      </c>
      <c r="K74" s="3" t="str">
        <f t="shared" si="5"/>
        <v>72  衬环TA10</v>
      </c>
    </row>
    <row r="75" spans="2:11" x14ac:dyDescent="0.2">
      <c r="B75">
        <v>72</v>
      </c>
      <c r="C75" t="s">
        <v>93</v>
      </c>
      <c r="D75" s="2" t="s">
        <v>277</v>
      </c>
      <c r="E75" s="3" t="str">
        <f t="shared" si="4"/>
        <v>72  管材S30403</v>
      </c>
      <c r="H75" s="4">
        <v>73</v>
      </c>
      <c r="I75" s="4" t="s">
        <v>347</v>
      </c>
      <c r="J75" s="4" t="s">
        <v>275</v>
      </c>
      <c r="K75" s="3" t="str">
        <f t="shared" si="5"/>
        <v>73  垫板S30408</v>
      </c>
    </row>
    <row r="76" spans="2:11" x14ac:dyDescent="0.2">
      <c r="B76">
        <v>73</v>
      </c>
      <c r="C76" t="s">
        <v>93</v>
      </c>
      <c r="D76" s="2" t="s">
        <v>293</v>
      </c>
      <c r="E76" s="3" t="str">
        <f t="shared" si="4"/>
        <v>73  管材S32168</v>
      </c>
      <c r="H76" s="4">
        <v>74</v>
      </c>
      <c r="I76" s="4" t="s">
        <v>347</v>
      </c>
      <c r="J76" s="4" t="s">
        <v>277</v>
      </c>
      <c r="K76" s="3" t="str">
        <f t="shared" si="5"/>
        <v>74  垫板S30403</v>
      </c>
    </row>
    <row r="77" spans="2:11" x14ac:dyDescent="0.2">
      <c r="B77">
        <v>74</v>
      </c>
      <c r="C77" t="s">
        <v>93</v>
      </c>
      <c r="D77" s="2" t="s">
        <v>283</v>
      </c>
      <c r="E77" s="3" t="str">
        <f t="shared" si="4"/>
        <v>74  管材S31608</v>
      </c>
      <c r="H77" s="4">
        <v>75</v>
      </c>
      <c r="I77" s="4" t="s">
        <v>347</v>
      </c>
      <c r="J77" s="4" t="s">
        <v>279</v>
      </c>
      <c r="K77" s="3" t="str">
        <f t="shared" si="5"/>
        <v>75  垫板S30409</v>
      </c>
    </row>
    <row r="78" spans="2:11" x14ac:dyDescent="0.2">
      <c r="B78">
        <v>75</v>
      </c>
      <c r="C78" t="s">
        <v>93</v>
      </c>
      <c r="D78" s="2" t="s">
        <v>285</v>
      </c>
      <c r="E78" s="3" t="str">
        <f t="shared" si="4"/>
        <v>75  管材S31603</v>
      </c>
      <c r="H78" s="4">
        <v>76</v>
      </c>
      <c r="I78" s="4" t="s">
        <v>347</v>
      </c>
      <c r="J78" s="4" t="s">
        <v>283</v>
      </c>
      <c r="K78" s="3" t="str">
        <f t="shared" si="5"/>
        <v>76  垫板S31608</v>
      </c>
    </row>
    <row r="79" spans="2:11" x14ac:dyDescent="0.2">
      <c r="B79">
        <v>76</v>
      </c>
      <c r="C79" t="s">
        <v>93</v>
      </c>
      <c r="D79" s="2" t="s">
        <v>287</v>
      </c>
      <c r="E79" s="3" t="str">
        <f t="shared" si="4"/>
        <v>76  管材S31668</v>
      </c>
      <c r="H79" s="4">
        <v>77</v>
      </c>
      <c r="I79" s="4" t="s">
        <v>347</v>
      </c>
      <c r="J79" s="4" t="s">
        <v>285</v>
      </c>
      <c r="K79" s="3" t="str">
        <f t="shared" si="5"/>
        <v>77  垫板S31603</v>
      </c>
    </row>
    <row r="80" spans="2:11" x14ac:dyDescent="0.2">
      <c r="B80">
        <v>77</v>
      </c>
      <c r="C80" t="s">
        <v>93</v>
      </c>
      <c r="D80" s="2" t="s">
        <v>289</v>
      </c>
      <c r="E80" s="3" t="str">
        <f t="shared" si="4"/>
        <v>77  管材S31708</v>
      </c>
      <c r="H80" s="4">
        <v>78</v>
      </c>
      <c r="I80" s="4" t="s">
        <v>347</v>
      </c>
      <c r="J80" s="4" t="s">
        <v>287</v>
      </c>
      <c r="K80" s="3" t="str">
        <f t="shared" si="5"/>
        <v>78  垫板S31668</v>
      </c>
    </row>
    <row r="81" spans="2:11" x14ac:dyDescent="0.2">
      <c r="B81">
        <v>78</v>
      </c>
      <c r="C81" t="s">
        <v>93</v>
      </c>
      <c r="D81" s="2" t="s">
        <v>291</v>
      </c>
      <c r="E81" s="3" t="str">
        <f t="shared" si="4"/>
        <v>78  管材S31703</v>
      </c>
      <c r="H81" s="4">
        <v>79</v>
      </c>
      <c r="I81" s="4" t="s">
        <v>347</v>
      </c>
      <c r="J81" s="4" t="s">
        <v>293</v>
      </c>
      <c r="K81" s="3" t="str">
        <f t="shared" si="5"/>
        <v>79  垫板S32168</v>
      </c>
    </row>
    <row r="82" spans="2:11" x14ac:dyDescent="0.2">
      <c r="B82">
        <v>79</v>
      </c>
      <c r="C82" t="s">
        <v>93</v>
      </c>
      <c r="D82" s="2" t="s">
        <v>281</v>
      </c>
      <c r="E82" s="3" t="str">
        <f t="shared" si="4"/>
        <v>79  管材S31008</v>
      </c>
      <c r="H82" s="4">
        <v>80</v>
      </c>
      <c r="I82" s="4" t="s">
        <v>347</v>
      </c>
      <c r="J82" s="4" t="s">
        <v>295</v>
      </c>
      <c r="K82" s="3" t="str">
        <f t="shared" si="5"/>
        <v>80  垫板S39042</v>
      </c>
    </row>
    <row r="83" spans="2:11" x14ac:dyDescent="0.2">
      <c r="B83">
        <v>80</v>
      </c>
      <c r="C83" t="s">
        <v>93</v>
      </c>
      <c r="D83" s="2" t="s">
        <v>269</v>
      </c>
      <c r="E83" s="3" t="str">
        <f t="shared" si="4"/>
        <v>80  管材S21953</v>
      </c>
      <c r="H83" s="4">
        <v>81</v>
      </c>
      <c r="I83" s="4" t="s">
        <v>347</v>
      </c>
      <c r="J83" s="4" t="s">
        <v>314</v>
      </c>
      <c r="K83" s="3" t="str">
        <f t="shared" si="5"/>
        <v>81  垫板TA1</v>
      </c>
    </row>
    <row r="84" spans="2:11" x14ac:dyDescent="0.2">
      <c r="B84">
        <v>81</v>
      </c>
      <c r="C84" t="s">
        <v>93</v>
      </c>
      <c r="D84" s="2" t="s">
        <v>271</v>
      </c>
      <c r="E84" s="3" t="str">
        <f t="shared" si="4"/>
        <v>81  管材S22253</v>
      </c>
      <c r="H84" s="4">
        <v>82</v>
      </c>
      <c r="I84" s="4" t="s">
        <v>347</v>
      </c>
      <c r="J84" s="4" t="s">
        <v>316</v>
      </c>
      <c r="K84" s="3" t="str">
        <f t="shared" si="5"/>
        <v>82  垫板TA2</v>
      </c>
    </row>
    <row r="85" spans="2:11" x14ac:dyDescent="0.2">
      <c r="B85">
        <v>82</v>
      </c>
      <c r="C85" t="s">
        <v>93</v>
      </c>
      <c r="D85" s="2" t="s">
        <v>273</v>
      </c>
      <c r="E85" s="3" t="str">
        <f t="shared" si="4"/>
        <v>82  管材S22053</v>
      </c>
      <c r="H85" s="4">
        <v>83</v>
      </c>
      <c r="I85" s="4" t="s">
        <v>347</v>
      </c>
      <c r="J85" s="4" t="s">
        <v>318</v>
      </c>
      <c r="K85" s="3" t="str">
        <f t="shared" si="5"/>
        <v>83  垫板TA3</v>
      </c>
    </row>
    <row r="86" spans="2:11" x14ac:dyDescent="0.2">
      <c r="B86">
        <v>83</v>
      </c>
      <c r="C86" t="s">
        <v>93</v>
      </c>
      <c r="D86" s="2" t="s">
        <v>269</v>
      </c>
      <c r="E86" s="3" t="str">
        <f t="shared" si="4"/>
        <v>83  管材S21953</v>
      </c>
      <c r="H86" s="4">
        <v>84</v>
      </c>
      <c r="I86" s="4" t="s">
        <v>347</v>
      </c>
      <c r="J86" s="4" t="s">
        <v>320</v>
      </c>
      <c r="K86" s="3" t="str">
        <f t="shared" si="5"/>
        <v>84  垫板TA9</v>
      </c>
    </row>
    <row r="87" spans="2:11" x14ac:dyDescent="0.2">
      <c r="B87">
        <v>84</v>
      </c>
      <c r="C87" t="s">
        <v>93</v>
      </c>
      <c r="D87" s="2" t="s">
        <v>271</v>
      </c>
      <c r="E87" s="3" t="str">
        <f t="shared" si="4"/>
        <v>84  管材S22253</v>
      </c>
      <c r="H87" s="4">
        <v>85</v>
      </c>
      <c r="I87" s="4" t="s">
        <v>347</v>
      </c>
      <c r="J87" s="4" t="s">
        <v>322</v>
      </c>
      <c r="K87" s="3" t="str">
        <f t="shared" si="5"/>
        <v>85  垫板TA10</v>
      </c>
    </row>
    <row r="88" spans="2:11" x14ac:dyDescent="0.2">
      <c r="B88">
        <v>85</v>
      </c>
      <c r="C88" t="s">
        <v>93</v>
      </c>
      <c r="D88" s="2" t="s">
        <v>273</v>
      </c>
      <c r="E88" s="3" t="str">
        <f t="shared" si="4"/>
        <v>85  管材S22053</v>
      </c>
    </row>
    <row r="89" spans="2:11" x14ac:dyDescent="0.2">
      <c r="B89">
        <v>86</v>
      </c>
      <c r="C89" t="s">
        <v>93</v>
      </c>
      <c r="D89" s="2" t="s">
        <v>128</v>
      </c>
      <c r="E89" s="3" t="str">
        <f t="shared" si="4"/>
        <v>86  管材S25073</v>
      </c>
    </row>
    <row r="90" spans="2:11" x14ac:dyDescent="0.2">
      <c r="B90">
        <v>87</v>
      </c>
      <c r="C90" t="s">
        <v>93</v>
      </c>
      <c r="D90" s="2" t="s">
        <v>275</v>
      </c>
      <c r="E90" s="3" t="str">
        <f t="shared" si="4"/>
        <v>87  管材S30408</v>
      </c>
    </row>
    <row r="91" spans="2:11" x14ac:dyDescent="0.2">
      <c r="B91">
        <v>88</v>
      </c>
      <c r="C91" t="s">
        <v>93</v>
      </c>
      <c r="D91" s="2" t="s">
        <v>277</v>
      </c>
      <c r="E91" s="3" t="str">
        <f t="shared" si="4"/>
        <v>88  管材S30403</v>
      </c>
    </row>
    <row r="92" spans="2:11" x14ac:dyDescent="0.2">
      <c r="B92">
        <v>89</v>
      </c>
      <c r="C92" t="s">
        <v>93</v>
      </c>
      <c r="D92" s="2" t="s">
        <v>283</v>
      </c>
      <c r="E92" s="3" t="str">
        <f t="shared" si="4"/>
        <v>89  管材S31608</v>
      </c>
    </row>
    <row r="93" spans="2:11" x14ac:dyDescent="0.2">
      <c r="B93">
        <v>90</v>
      </c>
      <c r="C93" t="s">
        <v>93</v>
      </c>
      <c r="D93" s="2" t="s">
        <v>285</v>
      </c>
      <c r="E93" s="3" t="str">
        <f t="shared" si="4"/>
        <v>90  管材S31603</v>
      </c>
    </row>
    <row r="94" spans="2:11" x14ac:dyDescent="0.2">
      <c r="B94">
        <v>91</v>
      </c>
      <c r="C94" t="s">
        <v>93</v>
      </c>
      <c r="D94" s="2" t="s">
        <v>293</v>
      </c>
      <c r="E94" s="3" t="str">
        <f t="shared" si="4"/>
        <v>91  管材S32168</v>
      </c>
    </row>
    <row r="95" spans="2:11" x14ac:dyDescent="0.2">
      <c r="B95">
        <v>92</v>
      </c>
      <c r="C95" t="s">
        <v>100</v>
      </c>
      <c r="D95" s="2">
        <v>20</v>
      </c>
      <c r="E95" s="3" t="str">
        <f t="shared" si="4"/>
        <v>92  锻件20</v>
      </c>
    </row>
    <row r="96" spans="2:11" x14ac:dyDescent="0.2">
      <c r="B96">
        <v>93</v>
      </c>
      <c r="C96" t="s">
        <v>100</v>
      </c>
      <c r="D96" s="2">
        <v>35</v>
      </c>
      <c r="E96" s="3" t="str">
        <f t="shared" si="4"/>
        <v>93  锻件35</v>
      </c>
    </row>
    <row r="97" spans="2:5" x14ac:dyDescent="0.2">
      <c r="B97">
        <v>94</v>
      </c>
      <c r="C97" t="s">
        <v>100</v>
      </c>
      <c r="D97" s="2" t="s">
        <v>348</v>
      </c>
      <c r="E97" s="3" t="str">
        <f t="shared" si="4"/>
        <v>94  锻件16Mn</v>
      </c>
    </row>
    <row r="98" spans="2:5" x14ac:dyDescent="0.2">
      <c r="B98">
        <v>95</v>
      </c>
      <c r="C98" t="s">
        <v>100</v>
      </c>
      <c r="D98" s="2" t="s">
        <v>349</v>
      </c>
      <c r="E98" s="3" t="str">
        <f t="shared" si="4"/>
        <v>95  锻件20MnMo</v>
      </c>
    </row>
    <row r="99" spans="2:5" x14ac:dyDescent="0.2">
      <c r="B99">
        <v>96</v>
      </c>
      <c r="C99" t="s">
        <v>100</v>
      </c>
      <c r="D99" s="2" t="s">
        <v>350</v>
      </c>
      <c r="E99" s="3" t="str">
        <f t="shared" si="4"/>
        <v>96  锻件20MnMoNb</v>
      </c>
    </row>
    <row r="100" spans="2:5" x14ac:dyDescent="0.2">
      <c r="B100">
        <v>97</v>
      </c>
      <c r="C100" t="s">
        <v>100</v>
      </c>
      <c r="D100" s="2" t="s">
        <v>351</v>
      </c>
      <c r="E100" s="3" t="str">
        <f t="shared" ref="E100:E131" si="6">B100&amp;"  "&amp;C100&amp;D100</f>
        <v>97  锻件20MnNiMo</v>
      </c>
    </row>
    <row r="101" spans="2:5" x14ac:dyDescent="0.2">
      <c r="B101">
        <v>98</v>
      </c>
      <c r="C101" t="s">
        <v>100</v>
      </c>
      <c r="D101" s="2" t="s">
        <v>352</v>
      </c>
      <c r="E101" s="3" t="str">
        <f t="shared" si="6"/>
        <v>98  锻件35CrMo</v>
      </c>
    </row>
    <row r="102" spans="2:5" x14ac:dyDescent="0.2">
      <c r="B102">
        <v>99</v>
      </c>
      <c r="C102" t="s">
        <v>100</v>
      </c>
      <c r="D102" s="2" t="s">
        <v>315</v>
      </c>
      <c r="E102" s="3" t="str">
        <f t="shared" si="6"/>
        <v>99  锻件15CrMo</v>
      </c>
    </row>
    <row r="103" spans="2:5" x14ac:dyDescent="0.2">
      <c r="B103">
        <v>100</v>
      </c>
      <c r="C103" t="s">
        <v>100</v>
      </c>
      <c r="D103" s="2" t="s">
        <v>353</v>
      </c>
      <c r="E103" s="3" t="str">
        <f t="shared" si="6"/>
        <v>100  锻件14Cr1Mo</v>
      </c>
    </row>
    <row r="104" spans="2:5" x14ac:dyDescent="0.2">
      <c r="B104">
        <v>101</v>
      </c>
      <c r="C104" t="s">
        <v>100</v>
      </c>
      <c r="D104" s="2" t="s">
        <v>340</v>
      </c>
      <c r="E104" s="3" t="str">
        <f t="shared" si="6"/>
        <v>101  锻件12Cr2Mo1</v>
      </c>
    </row>
    <row r="105" spans="2:5" x14ac:dyDescent="0.2">
      <c r="B105">
        <v>102</v>
      </c>
      <c r="C105" t="s">
        <v>100</v>
      </c>
      <c r="D105" s="2" t="s">
        <v>354</v>
      </c>
      <c r="E105" s="3" t="str">
        <f t="shared" si="6"/>
        <v>102  锻件12Cr1MoV</v>
      </c>
    </row>
    <row r="106" spans="2:5" x14ac:dyDescent="0.2">
      <c r="B106">
        <v>103</v>
      </c>
      <c r="C106" t="s">
        <v>100</v>
      </c>
      <c r="D106" s="2" t="s">
        <v>355</v>
      </c>
      <c r="E106" s="3" t="str">
        <f t="shared" si="6"/>
        <v>103  锻件12Cr2Mo1V</v>
      </c>
    </row>
    <row r="107" spans="2:5" x14ac:dyDescent="0.2">
      <c r="B107">
        <v>104</v>
      </c>
      <c r="C107" t="s">
        <v>100</v>
      </c>
      <c r="D107" s="2" t="s">
        <v>356</v>
      </c>
      <c r="E107" s="3" t="str">
        <f t="shared" si="6"/>
        <v>104  锻件12Cr3Mo1V</v>
      </c>
    </row>
    <row r="108" spans="2:5" x14ac:dyDescent="0.2">
      <c r="B108">
        <v>105</v>
      </c>
      <c r="C108" t="s">
        <v>100</v>
      </c>
      <c r="D108" s="2" t="s">
        <v>321</v>
      </c>
      <c r="E108" s="3" t="str">
        <f t="shared" si="6"/>
        <v>105  锻件12Cr5Mo</v>
      </c>
    </row>
    <row r="109" spans="2:5" x14ac:dyDescent="0.2">
      <c r="B109">
        <v>106</v>
      </c>
      <c r="C109" t="s">
        <v>100</v>
      </c>
      <c r="D109" s="2" t="s">
        <v>357</v>
      </c>
      <c r="E109" s="3" t="str">
        <f t="shared" si="6"/>
        <v>106  锻件16MnD</v>
      </c>
    </row>
    <row r="110" spans="2:5" x14ac:dyDescent="0.2">
      <c r="B110">
        <v>107</v>
      </c>
      <c r="C110" t="s">
        <v>100</v>
      </c>
      <c r="D110" s="2" t="s">
        <v>358</v>
      </c>
      <c r="E110" s="3" t="str">
        <f t="shared" si="6"/>
        <v>107  锻件20MnMoD</v>
      </c>
    </row>
    <row r="111" spans="2:5" x14ac:dyDescent="0.2">
      <c r="B111">
        <v>108</v>
      </c>
      <c r="C111" t="s">
        <v>100</v>
      </c>
      <c r="D111" s="2" t="s">
        <v>359</v>
      </c>
      <c r="E111" s="3" t="str">
        <f t="shared" si="6"/>
        <v>108  锻件08MnNiMoVD</v>
      </c>
    </row>
    <row r="112" spans="2:5" x14ac:dyDescent="0.2">
      <c r="B112">
        <v>109</v>
      </c>
      <c r="C112" t="s">
        <v>100</v>
      </c>
      <c r="D112" s="2" t="s">
        <v>360</v>
      </c>
      <c r="E112" s="3" t="str">
        <f t="shared" si="6"/>
        <v>109  锻件10Ni3MoVD</v>
      </c>
    </row>
    <row r="113" spans="2:5" x14ac:dyDescent="0.2">
      <c r="B113">
        <v>110</v>
      </c>
      <c r="C113" t="s">
        <v>100</v>
      </c>
      <c r="D113" s="2" t="s">
        <v>338</v>
      </c>
      <c r="E113" s="3" t="str">
        <f t="shared" si="6"/>
        <v>110  锻件09MnNiD</v>
      </c>
    </row>
    <row r="114" spans="2:5" x14ac:dyDescent="0.2">
      <c r="B114">
        <v>111</v>
      </c>
      <c r="C114" t="s">
        <v>100</v>
      </c>
      <c r="D114" s="2" t="s">
        <v>361</v>
      </c>
      <c r="E114" s="3" t="str">
        <f t="shared" si="6"/>
        <v>111  锻件08Ni3D</v>
      </c>
    </row>
    <row r="115" spans="2:5" x14ac:dyDescent="0.2">
      <c r="B115">
        <v>112</v>
      </c>
      <c r="C115" t="s">
        <v>100</v>
      </c>
      <c r="D115" s="2" t="s">
        <v>275</v>
      </c>
      <c r="E115" s="3" t="str">
        <f t="shared" si="6"/>
        <v>112  锻件S30408</v>
      </c>
    </row>
    <row r="116" spans="2:5" x14ac:dyDescent="0.2">
      <c r="B116">
        <v>113</v>
      </c>
      <c r="C116" t="s">
        <v>100</v>
      </c>
      <c r="D116" s="2" t="s">
        <v>277</v>
      </c>
      <c r="E116" s="3" t="str">
        <f t="shared" si="6"/>
        <v>113  锻件S30403</v>
      </c>
    </row>
    <row r="117" spans="2:5" x14ac:dyDescent="0.2">
      <c r="B117">
        <v>114</v>
      </c>
      <c r="C117" t="s">
        <v>100</v>
      </c>
      <c r="D117" s="2" t="s">
        <v>279</v>
      </c>
      <c r="E117" s="3" t="str">
        <f t="shared" si="6"/>
        <v>114  锻件S30409</v>
      </c>
    </row>
    <row r="118" spans="2:5" x14ac:dyDescent="0.2">
      <c r="B118">
        <v>115</v>
      </c>
      <c r="C118" t="s">
        <v>100</v>
      </c>
      <c r="D118" s="2" t="s">
        <v>281</v>
      </c>
      <c r="E118" s="3" t="str">
        <f t="shared" si="6"/>
        <v>115  锻件S31008</v>
      </c>
    </row>
    <row r="119" spans="2:5" x14ac:dyDescent="0.2">
      <c r="B119">
        <v>116</v>
      </c>
      <c r="C119" t="s">
        <v>100</v>
      </c>
      <c r="D119" s="2" t="s">
        <v>283</v>
      </c>
      <c r="E119" s="3" t="str">
        <f t="shared" si="6"/>
        <v>116  锻件S31608</v>
      </c>
    </row>
    <row r="120" spans="2:5" x14ac:dyDescent="0.2">
      <c r="B120">
        <v>117</v>
      </c>
      <c r="C120" t="s">
        <v>100</v>
      </c>
      <c r="D120" s="2" t="s">
        <v>285</v>
      </c>
      <c r="E120" s="3" t="str">
        <f t="shared" si="6"/>
        <v>117  锻件S31603</v>
      </c>
    </row>
    <row r="121" spans="2:5" x14ac:dyDescent="0.2">
      <c r="B121">
        <v>118</v>
      </c>
      <c r="C121" t="s">
        <v>100</v>
      </c>
      <c r="D121" s="2" t="s">
        <v>287</v>
      </c>
      <c r="E121" s="3" t="str">
        <f t="shared" si="6"/>
        <v>118  锻件S31668</v>
      </c>
    </row>
    <row r="122" spans="2:5" x14ac:dyDescent="0.2">
      <c r="B122">
        <v>119</v>
      </c>
      <c r="C122" t="s">
        <v>100</v>
      </c>
      <c r="D122" s="2" t="s">
        <v>291</v>
      </c>
      <c r="E122" s="3" t="str">
        <f t="shared" si="6"/>
        <v>119  锻件S31703</v>
      </c>
    </row>
    <row r="123" spans="2:5" x14ac:dyDescent="0.2">
      <c r="B123">
        <v>120</v>
      </c>
      <c r="C123" t="s">
        <v>100</v>
      </c>
      <c r="D123" s="2" t="s">
        <v>293</v>
      </c>
      <c r="E123" s="3" t="str">
        <f t="shared" si="6"/>
        <v>120  锻件S32168</v>
      </c>
    </row>
    <row r="124" spans="2:5" x14ac:dyDescent="0.2">
      <c r="B124">
        <v>121</v>
      </c>
      <c r="C124" t="s">
        <v>100</v>
      </c>
      <c r="D124" s="2" t="s">
        <v>295</v>
      </c>
      <c r="E124" s="3" t="str">
        <f t="shared" si="6"/>
        <v>121  锻件S39042</v>
      </c>
    </row>
    <row r="125" spans="2:5" x14ac:dyDescent="0.2">
      <c r="B125">
        <v>122</v>
      </c>
      <c r="C125" t="s">
        <v>100</v>
      </c>
      <c r="D125" s="2" t="s">
        <v>269</v>
      </c>
      <c r="E125" s="3" t="str">
        <f t="shared" si="6"/>
        <v>122  锻件S21953</v>
      </c>
    </row>
    <row r="126" spans="2:5" x14ac:dyDescent="0.2">
      <c r="B126">
        <v>123</v>
      </c>
      <c r="C126" t="s">
        <v>100</v>
      </c>
      <c r="D126" s="2" t="s">
        <v>271</v>
      </c>
      <c r="E126" s="3" t="str">
        <f t="shared" si="6"/>
        <v>123  锻件S22253</v>
      </c>
    </row>
    <row r="127" spans="2:5" x14ac:dyDescent="0.2">
      <c r="B127">
        <v>124</v>
      </c>
      <c r="C127" t="s">
        <v>100</v>
      </c>
      <c r="D127" s="2" t="s">
        <v>273</v>
      </c>
      <c r="E127" s="3" t="str">
        <f t="shared" si="6"/>
        <v>124  锻件S22053</v>
      </c>
    </row>
    <row r="128" spans="2:5" x14ac:dyDescent="0.2">
      <c r="B128">
        <v>125</v>
      </c>
      <c r="C128" t="s">
        <v>362</v>
      </c>
      <c r="D128" s="2">
        <v>20</v>
      </c>
      <c r="E128" s="3" t="str">
        <f t="shared" si="6"/>
        <v>125  螺柱20</v>
      </c>
    </row>
    <row r="129" spans="2:5" x14ac:dyDescent="0.2">
      <c r="B129">
        <v>126</v>
      </c>
      <c r="C129" t="s">
        <v>362</v>
      </c>
      <c r="D129" s="2">
        <v>35</v>
      </c>
      <c r="E129" s="3" t="str">
        <f t="shared" si="6"/>
        <v>126  螺柱35</v>
      </c>
    </row>
    <row r="130" spans="2:5" x14ac:dyDescent="0.2">
      <c r="B130">
        <v>127</v>
      </c>
      <c r="C130" t="s">
        <v>362</v>
      </c>
      <c r="D130" s="2" t="s">
        <v>363</v>
      </c>
      <c r="E130" s="3" t="str">
        <f t="shared" si="6"/>
        <v>127  螺柱40MnB</v>
      </c>
    </row>
    <row r="131" spans="2:5" x14ac:dyDescent="0.2">
      <c r="B131">
        <v>128</v>
      </c>
      <c r="C131" t="s">
        <v>362</v>
      </c>
      <c r="D131" s="2" t="s">
        <v>364</v>
      </c>
      <c r="E131" s="3" t="str">
        <f t="shared" si="6"/>
        <v>128  螺柱40MnVB</v>
      </c>
    </row>
    <row r="132" spans="2:5" x14ac:dyDescent="0.2">
      <c r="B132">
        <v>129</v>
      </c>
      <c r="C132" t="s">
        <v>362</v>
      </c>
      <c r="D132" s="2" t="s">
        <v>365</v>
      </c>
      <c r="E132" s="3" t="str">
        <f t="shared" ref="E132:E174" si="7">B132&amp;"  "&amp;C132&amp;D132</f>
        <v>129  螺柱40Cr</v>
      </c>
    </row>
    <row r="133" spans="2:5" x14ac:dyDescent="0.2">
      <c r="B133">
        <v>130</v>
      </c>
      <c r="C133" t="s">
        <v>362</v>
      </c>
      <c r="D133" s="2" t="s">
        <v>366</v>
      </c>
      <c r="E133" s="3" t="str">
        <f t="shared" si="7"/>
        <v>130  螺柱30CrMoA</v>
      </c>
    </row>
    <row r="134" spans="2:5" x14ac:dyDescent="0.2">
      <c r="B134">
        <v>131</v>
      </c>
      <c r="C134" t="s">
        <v>362</v>
      </c>
      <c r="D134" s="2" t="s">
        <v>367</v>
      </c>
      <c r="E134" s="3" t="str">
        <f t="shared" si="7"/>
        <v>131  螺柱35CrMoA</v>
      </c>
    </row>
    <row r="135" spans="2:5" x14ac:dyDescent="0.2">
      <c r="B135">
        <v>132</v>
      </c>
      <c r="C135" t="s">
        <v>362</v>
      </c>
      <c r="D135" s="2" t="s">
        <v>368</v>
      </c>
      <c r="E135" s="3" t="str">
        <f t="shared" si="7"/>
        <v>132  螺柱35CrMoVA</v>
      </c>
    </row>
    <row r="136" spans="2:5" x14ac:dyDescent="0.2">
      <c r="B136">
        <v>133</v>
      </c>
      <c r="C136" t="s">
        <v>362</v>
      </c>
      <c r="D136" s="2" t="s">
        <v>369</v>
      </c>
      <c r="E136" s="3" t="str">
        <f t="shared" si="7"/>
        <v>133  螺柱25Cr2MoVA</v>
      </c>
    </row>
    <row r="137" spans="2:5" x14ac:dyDescent="0.2">
      <c r="B137">
        <v>134</v>
      </c>
      <c r="C137" t="s">
        <v>362</v>
      </c>
      <c r="D137" s="2" t="s">
        <v>370</v>
      </c>
      <c r="E137" s="3" t="str">
        <f t="shared" si="7"/>
        <v>134  螺柱40CrNiMoA</v>
      </c>
    </row>
    <row r="138" spans="2:5" x14ac:dyDescent="0.2">
      <c r="B138">
        <v>135</v>
      </c>
      <c r="C138" t="s">
        <v>362</v>
      </c>
      <c r="D138" s="2" t="s">
        <v>371</v>
      </c>
      <c r="E138" s="3" t="str">
        <f t="shared" si="7"/>
        <v>135  螺柱1Cr5Mo</v>
      </c>
    </row>
    <row r="139" spans="2:5" x14ac:dyDescent="0.2">
      <c r="B139">
        <v>136</v>
      </c>
      <c r="C139" t="s">
        <v>60</v>
      </c>
      <c r="D139" s="2" t="s">
        <v>372</v>
      </c>
      <c r="E139" s="3" t="str">
        <f t="shared" si="7"/>
        <v>136  板材Q235A</v>
      </c>
    </row>
    <row r="140" spans="2:5" x14ac:dyDescent="0.2">
      <c r="B140">
        <v>137</v>
      </c>
      <c r="C140" t="s">
        <v>60</v>
      </c>
      <c r="D140" s="2" t="s">
        <v>373</v>
      </c>
      <c r="E140" s="3" t="str">
        <f t="shared" si="7"/>
        <v>137  板材Q235B</v>
      </c>
    </row>
    <row r="141" spans="2:5" x14ac:dyDescent="0.2">
      <c r="B141">
        <v>138</v>
      </c>
      <c r="C141" t="s">
        <v>60</v>
      </c>
      <c r="D141" s="2" t="s">
        <v>374</v>
      </c>
      <c r="E141" s="3" t="str">
        <f t="shared" si="7"/>
        <v>138  板材Q235C</v>
      </c>
    </row>
    <row r="142" spans="2:5" x14ac:dyDescent="0.2">
      <c r="B142">
        <v>139</v>
      </c>
      <c r="C142" t="s">
        <v>60</v>
      </c>
      <c r="D142" s="2" t="s">
        <v>375</v>
      </c>
      <c r="E142" s="3" t="str">
        <f t="shared" si="7"/>
        <v>139  板材15CrMoR(H)</v>
      </c>
    </row>
    <row r="143" spans="2:5" x14ac:dyDescent="0.2">
      <c r="B143">
        <v>140</v>
      </c>
      <c r="C143" t="s">
        <v>60</v>
      </c>
      <c r="D143" s="2" t="s">
        <v>376</v>
      </c>
      <c r="E143" s="3" t="str">
        <f t="shared" si="7"/>
        <v>140  板材14Cr1MoR(H)</v>
      </c>
    </row>
    <row r="144" spans="2:5" x14ac:dyDescent="0.2">
      <c r="B144">
        <v>141</v>
      </c>
      <c r="C144" t="s">
        <v>60</v>
      </c>
      <c r="D144" s="2" t="s">
        <v>377</v>
      </c>
      <c r="E144" s="3" t="str">
        <f t="shared" si="7"/>
        <v>141  板材12Cr2Mo1R(H)</v>
      </c>
    </row>
    <row r="145" spans="2:5" x14ac:dyDescent="0.2">
      <c r="B145">
        <v>142</v>
      </c>
      <c r="C145" t="s">
        <v>60</v>
      </c>
      <c r="D145" s="2" t="s">
        <v>378</v>
      </c>
      <c r="E145" s="3" t="str">
        <f t="shared" si="7"/>
        <v>142  板材12Cr2Mo1VR(H)</v>
      </c>
    </row>
    <row r="146" spans="2:5" x14ac:dyDescent="0.2">
      <c r="B146">
        <v>143</v>
      </c>
      <c r="C146" t="s">
        <v>379</v>
      </c>
      <c r="D146" s="2" t="s">
        <v>300</v>
      </c>
      <c r="E146" s="3" t="str">
        <f t="shared" si="7"/>
        <v>143  镍及镍合金N5</v>
      </c>
    </row>
    <row r="147" spans="2:5" x14ac:dyDescent="0.2">
      <c r="B147">
        <v>144</v>
      </c>
      <c r="C147" t="s">
        <v>379</v>
      </c>
      <c r="D147" s="2" t="s">
        <v>301</v>
      </c>
      <c r="E147" s="3" t="str">
        <f t="shared" si="7"/>
        <v>144  镍及镍合金N7</v>
      </c>
    </row>
    <row r="148" spans="2:5" x14ac:dyDescent="0.2">
      <c r="B148">
        <v>145</v>
      </c>
      <c r="C148" t="s">
        <v>379</v>
      </c>
      <c r="D148" s="2" t="s">
        <v>302</v>
      </c>
      <c r="E148" s="3" t="str">
        <f t="shared" si="7"/>
        <v>145  镍及镍合金NCu30</v>
      </c>
    </row>
    <row r="149" spans="2:5" x14ac:dyDescent="0.2">
      <c r="B149">
        <v>146</v>
      </c>
      <c r="C149" t="s">
        <v>379</v>
      </c>
      <c r="D149" s="2" t="s">
        <v>303</v>
      </c>
      <c r="E149" s="3" t="str">
        <f t="shared" si="7"/>
        <v>146  镍及镍合金NS1101</v>
      </c>
    </row>
    <row r="150" spans="2:5" x14ac:dyDescent="0.2">
      <c r="B150">
        <v>147</v>
      </c>
      <c r="C150" t="s">
        <v>379</v>
      </c>
      <c r="D150" s="2" t="s">
        <v>304</v>
      </c>
      <c r="E150" s="3" t="str">
        <f t="shared" si="7"/>
        <v>147  镍及镍合金NS1102</v>
      </c>
    </row>
    <row r="151" spans="2:5" x14ac:dyDescent="0.2">
      <c r="B151">
        <v>148</v>
      </c>
      <c r="C151" t="s">
        <v>379</v>
      </c>
      <c r="D151" s="2" t="s">
        <v>305</v>
      </c>
      <c r="E151" s="3" t="str">
        <f t="shared" si="7"/>
        <v>148  镍及镍合金NS1402</v>
      </c>
    </row>
    <row r="152" spans="2:5" x14ac:dyDescent="0.2">
      <c r="B152">
        <v>149</v>
      </c>
      <c r="C152" t="s">
        <v>379</v>
      </c>
      <c r="D152" s="2" t="s">
        <v>306</v>
      </c>
      <c r="E152" s="3" t="str">
        <f t="shared" si="7"/>
        <v>149  镍及镍合金NS3102</v>
      </c>
    </row>
    <row r="153" spans="2:5" x14ac:dyDescent="0.2">
      <c r="B153">
        <v>150</v>
      </c>
      <c r="C153" t="s">
        <v>379</v>
      </c>
      <c r="D153" s="2" t="s">
        <v>307</v>
      </c>
      <c r="E153" s="3" t="str">
        <f t="shared" si="7"/>
        <v>150  镍及镍合金NS3203</v>
      </c>
    </row>
    <row r="154" spans="2:5" x14ac:dyDescent="0.2">
      <c r="B154">
        <v>151</v>
      </c>
      <c r="C154" t="s">
        <v>379</v>
      </c>
      <c r="D154" s="2" t="s">
        <v>309</v>
      </c>
      <c r="E154" s="3" t="str">
        <f t="shared" si="7"/>
        <v>151  镍及镍合金NS3304</v>
      </c>
    </row>
    <row r="155" spans="2:5" x14ac:dyDescent="0.2">
      <c r="B155">
        <v>152</v>
      </c>
      <c r="C155" t="s">
        <v>379</v>
      </c>
      <c r="D155" s="2" t="s">
        <v>310</v>
      </c>
      <c r="E155" s="3" t="str">
        <f t="shared" si="7"/>
        <v>152  镍及镍合金NS3305</v>
      </c>
    </row>
    <row r="156" spans="2:5" x14ac:dyDescent="0.2">
      <c r="B156">
        <v>153</v>
      </c>
      <c r="C156" t="s">
        <v>379</v>
      </c>
      <c r="D156" s="2" t="s">
        <v>311</v>
      </c>
      <c r="E156" s="3" t="str">
        <f t="shared" si="7"/>
        <v>153  镍及镍合金NS3311</v>
      </c>
    </row>
    <row r="157" spans="2:5" x14ac:dyDescent="0.2">
      <c r="B157">
        <v>154</v>
      </c>
      <c r="C157" t="s">
        <v>380</v>
      </c>
      <c r="D157" s="2" t="s">
        <v>314</v>
      </c>
      <c r="E157" s="3" t="str">
        <f t="shared" si="7"/>
        <v>154  钛及钛合金TA1</v>
      </c>
    </row>
    <row r="158" spans="2:5" x14ac:dyDescent="0.2">
      <c r="B158">
        <v>155</v>
      </c>
      <c r="C158" t="s">
        <v>380</v>
      </c>
      <c r="D158" s="2" t="s">
        <v>316</v>
      </c>
      <c r="E158" s="3" t="str">
        <f t="shared" si="7"/>
        <v>155  钛及钛合金TA2</v>
      </c>
    </row>
    <row r="159" spans="2:5" x14ac:dyDescent="0.2">
      <c r="B159">
        <v>156</v>
      </c>
      <c r="C159" t="s">
        <v>380</v>
      </c>
      <c r="D159" s="2" t="s">
        <v>318</v>
      </c>
      <c r="E159" s="3" t="str">
        <f t="shared" si="7"/>
        <v>156  钛及钛合金TA3</v>
      </c>
    </row>
    <row r="160" spans="2:5" x14ac:dyDescent="0.2">
      <c r="B160">
        <v>157</v>
      </c>
      <c r="C160" t="s">
        <v>380</v>
      </c>
      <c r="D160" s="2" t="s">
        <v>320</v>
      </c>
      <c r="E160" s="3" t="str">
        <f t="shared" si="7"/>
        <v>157  钛及钛合金TA9</v>
      </c>
    </row>
    <row r="161" spans="2:5" x14ac:dyDescent="0.2">
      <c r="B161">
        <v>158</v>
      </c>
      <c r="C161" t="s">
        <v>380</v>
      </c>
      <c r="D161" s="2" t="s">
        <v>322</v>
      </c>
      <c r="E161" s="3" t="str">
        <f t="shared" si="7"/>
        <v>158  钛及钛合金TA10</v>
      </c>
    </row>
    <row r="162" spans="2:5" x14ac:dyDescent="0.2">
      <c r="B162">
        <v>159</v>
      </c>
      <c r="C162" t="s">
        <v>381</v>
      </c>
      <c r="D162" s="2" t="s">
        <v>325</v>
      </c>
      <c r="E162" s="3" t="str">
        <f t="shared" si="7"/>
        <v>159  铜及铜合金T2</v>
      </c>
    </row>
    <row r="163" spans="2:5" x14ac:dyDescent="0.2">
      <c r="B163">
        <v>160</v>
      </c>
      <c r="C163" t="s">
        <v>381</v>
      </c>
      <c r="D163" s="2" t="s">
        <v>326</v>
      </c>
      <c r="E163" s="3" t="str">
        <f t="shared" si="7"/>
        <v>160  铜及铜合金TU1</v>
      </c>
    </row>
    <row r="164" spans="2:5" x14ac:dyDescent="0.2">
      <c r="B164">
        <v>161</v>
      </c>
      <c r="C164" t="s">
        <v>381</v>
      </c>
      <c r="D164" s="2" t="s">
        <v>327</v>
      </c>
      <c r="E164" s="3" t="str">
        <f t="shared" si="7"/>
        <v>161  铜及铜合金H68</v>
      </c>
    </row>
    <row r="165" spans="2:5" x14ac:dyDescent="0.2">
      <c r="B165">
        <v>162</v>
      </c>
      <c r="C165" t="s">
        <v>381</v>
      </c>
      <c r="D165" s="2" t="s">
        <v>329</v>
      </c>
      <c r="E165" s="3" t="str">
        <f t="shared" si="7"/>
        <v>162  铜及铜合金H62</v>
      </c>
    </row>
    <row r="166" spans="2:5" x14ac:dyDescent="0.2">
      <c r="B166">
        <v>163</v>
      </c>
      <c r="C166" t="s">
        <v>381</v>
      </c>
      <c r="D166" s="2" t="s">
        <v>331</v>
      </c>
      <c r="E166" s="3" t="str">
        <f t="shared" si="7"/>
        <v>163  铜及铜合金HSn62-1</v>
      </c>
    </row>
    <row r="167" spans="2:5" x14ac:dyDescent="0.2">
      <c r="B167">
        <v>164</v>
      </c>
      <c r="C167" t="s">
        <v>381</v>
      </c>
      <c r="D167" s="2" t="s">
        <v>333</v>
      </c>
      <c r="E167" s="3" t="str">
        <f t="shared" si="7"/>
        <v>164  铜及铜合金QSn6.5-0.1</v>
      </c>
    </row>
    <row r="168" spans="2:5" x14ac:dyDescent="0.2">
      <c r="B168">
        <v>165</v>
      </c>
      <c r="C168" t="s">
        <v>381</v>
      </c>
      <c r="D168" s="2" t="s">
        <v>335</v>
      </c>
      <c r="E168" s="3" t="str">
        <f t="shared" si="7"/>
        <v>165  铜及铜合金QA19-2</v>
      </c>
    </row>
    <row r="169" spans="2:5" x14ac:dyDescent="0.2">
      <c r="B169">
        <v>166</v>
      </c>
      <c r="C169" t="s">
        <v>381</v>
      </c>
      <c r="D169" s="2" t="s">
        <v>337</v>
      </c>
      <c r="E169" s="3" t="str">
        <f t="shared" si="7"/>
        <v>166  铜及铜合金B19</v>
      </c>
    </row>
    <row r="170" spans="2:5" x14ac:dyDescent="0.2">
      <c r="B170">
        <v>167</v>
      </c>
      <c r="C170" t="s">
        <v>381</v>
      </c>
      <c r="D170" s="2" t="s">
        <v>339</v>
      </c>
      <c r="E170" s="3" t="str">
        <f t="shared" si="7"/>
        <v>167  铜及铜合金BFe10-1-1</v>
      </c>
    </row>
    <row r="171" spans="2:5" x14ac:dyDescent="0.2">
      <c r="B171">
        <v>168</v>
      </c>
      <c r="C171" t="s">
        <v>381</v>
      </c>
      <c r="D171" s="2" t="s">
        <v>341</v>
      </c>
      <c r="E171" s="3" t="str">
        <f t="shared" si="7"/>
        <v>168  铜及铜合金BFe30-1-2</v>
      </c>
    </row>
    <row r="172" spans="2:5" x14ac:dyDescent="0.2">
      <c r="B172">
        <v>169</v>
      </c>
      <c r="C172" t="s">
        <v>382</v>
      </c>
      <c r="D172" s="2" t="s">
        <v>343</v>
      </c>
      <c r="E172" s="3" t="str">
        <f t="shared" si="7"/>
        <v>169  锆材Zr-1</v>
      </c>
    </row>
    <row r="173" spans="2:5" x14ac:dyDescent="0.2">
      <c r="B173">
        <v>170</v>
      </c>
      <c r="C173" t="s">
        <v>382</v>
      </c>
      <c r="D173" s="2" t="s">
        <v>344</v>
      </c>
      <c r="E173" s="3" t="str">
        <f t="shared" si="7"/>
        <v>170  锆材Zr-3</v>
      </c>
    </row>
    <row r="174" spans="2:5" x14ac:dyDescent="0.2">
      <c r="B174">
        <v>171</v>
      </c>
      <c r="C174" t="s">
        <v>382</v>
      </c>
      <c r="D174" s="2" t="s">
        <v>345</v>
      </c>
      <c r="E174" s="3" t="str">
        <f t="shared" si="7"/>
        <v>171  锆材Zr-5</v>
      </c>
    </row>
  </sheetData>
  <phoneticPr fontId="1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M_JSYQ</vt:lpstr>
      <vt:lpstr>JSYQ</vt:lpstr>
      <vt:lpstr>说明</vt:lpstr>
      <vt:lpstr>编码</vt:lpstr>
      <vt:lpstr>Material</vt:lpstr>
      <vt:lpstr>JSYQ!Print_Area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123</cp:lastModifiedBy>
  <dcterms:created xsi:type="dcterms:W3CDTF">2015-06-05T18:19:00Z</dcterms:created>
  <dcterms:modified xsi:type="dcterms:W3CDTF">2024-10-31T07:37:51Z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A02220B189514B2EB0207F3F7C2666E1</vt:lpwstr>
  </property>
  <property fmtid="{D5CDD505-2E9C-101B-9397-08002B2CF9AE}" pid="3" name="KSOProductBuildVer">
    <vt:lpwstr>2052-11.8.2.12085</vt:lpwstr>
  </property>
</Properties>
</file>