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ythonWork\ALLPart3.8\database\"/>
    </mc:Choice>
  </mc:AlternateContent>
  <bookViews>
    <workbookView xWindow="7290" yWindow="825" windowWidth="11160" windowHeight="6915" activeTab="5"/>
  </bookViews>
  <sheets>
    <sheet name="PipeN" sheetId="3" r:id="rId1"/>
    <sheet name="Pipe" sheetId="1" r:id="rId2"/>
    <sheet name="PipeC" sheetId="4" r:id="rId3"/>
    <sheet name="PipeT" sheetId="5" r:id="rId4"/>
    <sheet name="PipeR" sheetId="6" r:id="rId5"/>
    <sheet name="test" sheetId="7" r:id="rId6"/>
  </sheets>
  <definedNames>
    <definedName name="_xlnm._FilterDatabase" localSheetId="1" hidden="1">Pipe!$A$2:$E$1364</definedName>
    <definedName name="_xlnm._FilterDatabase" localSheetId="2" hidden="1">PipeC!$A$2:$H$82</definedName>
  </definedNames>
  <calcPr calcId="162913"/>
</workbook>
</file>

<file path=xl/calcChain.xml><?xml version="1.0" encoding="utf-8"?>
<calcChain xmlns="http://schemas.openxmlformats.org/spreadsheetml/2006/main">
  <c r="F60" i="6" l="1"/>
  <c r="G60" i="6"/>
  <c r="H60" i="6"/>
  <c r="B60" i="6"/>
  <c r="C60" i="6"/>
  <c r="D60" i="6"/>
  <c r="F226" i="6"/>
  <c r="G226" i="6"/>
  <c r="F227" i="6"/>
  <c r="G227" i="6"/>
  <c r="F228" i="6"/>
  <c r="G228" i="6"/>
  <c r="B226" i="6"/>
  <c r="C226" i="6"/>
  <c r="B227" i="6"/>
  <c r="C227" i="6"/>
  <c r="B228" i="6"/>
  <c r="C228" i="6"/>
  <c r="F223" i="6"/>
  <c r="G223" i="6"/>
  <c r="F224" i="6"/>
  <c r="G224" i="6"/>
  <c r="F225" i="6"/>
  <c r="G225" i="6"/>
  <c r="B224" i="6"/>
  <c r="C224" i="6"/>
  <c r="B225" i="6"/>
  <c r="C225" i="6"/>
  <c r="F216" i="6"/>
  <c r="G216" i="6"/>
  <c r="F217" i="6"/>
  <c r="G217" i="6"/>
  <c r="F218" i="6"/>
  <c r="G218" i="6"/>
  <c r="F219" i="6"/>
  <c r="G219" i="6"/>
  <c r="F220" i="6"/>
  <c r="G220" i="6"/>
  <c r="F221" i="6"/>
  <c r="G221" i="6"/>
  <c r="F222" i="6"/>
  <c r="G222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F209" i="6"/>
  <c r="G209" i="6"/>
  <c r="F210" i="6"/>
  <c r="G210" i="6"/>
  <c r="F211" i="6"/>
  <c r="G211" i="6"/>
  <c r="F212" i="6"/>
  <c r="G212" i="6"/>
  <c r="F213" i="6"/>
  <c r="G213" i="6"/>
  <c r="F214" i="6"/>
  <c r="G214" i="6"/>
  <c r="F215" i="6"/>
  <c r="G215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F198" i="6"/>
  <c r="G198" i="6"/>
  <c r="B198" i="6"/>
  <c r="C198" i="6"/>
  <c r="F185" i="6"/>
  <c r="G185" i="6"/>
  <c r="B185" i="6"/>
  <c r="C185" i="6"/>
  <c r="B197" i="6"/>
  <c r="C197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F196" i="6"/>
  <c r="G196" i="6"/>
  <c r="F197" i="6"/>
  <c r="G197" i="6"/>
  <c r="F199" i="6"/>
  <c r="G199" i="6"/>
  <c r="F200" i="6"/>
  <c r="G200" i="6"/>
  <c r="F201" i="6"/>
  <c r="G201" i="6"/>
  <c r="F202" i="6"/>
  <c r="G202" i="6"/>
  <c r="F203" i="6"/>
  <c r="G203" i="6"/>
  <c r="F204" i="6"/>
  <c r="G204" i="6"/>
  <c r="F205" i="6"/>
  <c r="G205" i="6"/>
  <c r="F206" i="6"/>
  <c r="G206" i="6"/>
  <c r="F207" i="6"/>
  <c r="G207" i="6"/>
  <c r="F208" i="6"/>
  <c r="G208" i="6"/>
  <c r="B195" i="6"/>
  <c r="C19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F184" i="6"/>
  <c r="G184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B139" i="6"/>
  <c r="C139" i="6"/>
  <c r="B140" i="6"/>
  <c r="C140" i="6"/>
  <c r="B141" i="6"/>
  <c r="C141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11" i="6"/>
  <c r="C111" i="6"/>
  <c r="D111" i="6"/>
  <c r="B112" i="6"/>
  <c r="C112" i="6"/>
  <c r="B113" i="6"/>
  <c r="C113" i="6"/>
  <c r="D113" i="6"/>
  <c r="B114" i="6"/>
  <c r="C114" i="6"/>
  <c r="B115" i="6"/>
  <c r="C115" i="6"/>
  <c r="D115" i="6"/>
  <c r="B116" i="6"/>
  <c r="C116" i="6"/>
  <c r="D116" i="6"/>
  <c r="B117" i="6"/>
  <c r="C117" i="6"/>
  <c r="D117" i="6"/>
  <c r="B118" i="6"/>
  <c r="C118" i="6"/>
  <c r="D118" i="6"/>
  <c r="H111" i="6"/>
  <c r="H113" i="6"/>
  <c r="H115" i="6"/>
  <c r="H116" i="6"/>
  <c r="H117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B102" i="6"/>
  <c r="C102" i="6"/>
  <c r="F102" i="6"/>
  <c r="G102" i="6"/>
  <c r="B101" i="6"/>
  <c r="C101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F100" i="6"/>
  <c r="G100" i="6"/>
  <c r="F101" i="6"/>
  <c r="G101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93" i="6"/>
  <c r="G93" i="6"/>
  <c r="H93" i="6"/>
  <c r="F94" i="6"/>
  <c r="G94" i="6"/>
  <c r="F95" i="6"/>
  <c r="G95" i="6"/>
  <c r="H95" i="6"/>
  <c r="F96" i="6"/>
  <c r="G96" i="6"/>
  <c r="H96" i="6"/>
  <c r="F97" i="6"/>
  <c r="G97" i="6"/>
  <c r="H97" i="6"/>
  <c r="F98" i="6"/>
  <c r="G98" i="6"/>
  <c r="H98" i="6"/>
  <c r="F99" i="6"/>
  <c r="G99" i="6"/>
  <c r="H99" i="6"/>
  <c r="G92" i="6"/>
  <c r="F92" i="6"/>
  <c r="B93" i="6"/>
  <c r="C93" i="6"/>
  <c r="D93" i="6"/>
  <c r="B94" i="6"/>
  <c r="C94" i="6"/>
  <c r="B95" i="6"/>
  <c r="C95" i="6"/>
  <c r="D95" i="6"/>
  <c r="B96" i="6"/>
  <c r="C96" i="6"/>
  <c r="D96" i="6"/>
  <c r="B97" i="6"/>
  <c r="C97" i="6"/>
  <c r="D97" i="6"/>
  <c r="B98" i="6"/>
  <c r="C98" i="6"/>
  <c r="D98" i="6"/>
  <c r="B99" i="6"/>
  <c r="C99" i="6"/>
  <c r="D99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B86" i="6"/>
  <c r="C86" i="6"/>
  <c r="B87" i="6"/>
  <c r="C87" i="6"/>
  <c r="B88" i="6"/>
  <c r="C88" i="6"/>
  <c r="B89" i="6"/>
  <c r="C89" i="6"/>
  <c r="B90" i="6"/>
  <c r="C90" i="6"/>
  <c r="B91" i="6"/>
  <c r="C91" i="6"/>
  <c r="F84" i="6"/>
  <c r="G84" i="6"/>
  <c r="H84" i="6"/>
  <c r="B84" i="6"/>
  <c r="C84" i="6"/>
  <c r="D84" i="6"/>
  <c r="F72" i="6"/>
  <c r="G72" i="6"/>
  <c r="F73" i="6"/>
  <c r="G73" i="6"/>
  <c r="F74" i="6"/>
  <c r="G74" i="6"/>
  <c r="F75" i="6"/>
  <c r="G75" i="6"/>
  <c r="F76" i="6"/>
  <c r="G76" i="6"/>
  <c r="F77" i="6"/>
  <c r="G77" i="6"/>
  <c r="B72" i="6"/>
  <c r="C72" i="6"/>
  <c r="B73" i="6"/>
  <c r="C73" i="6"/>
  <c r="B74" i="6"/>
  <c r="C74" i="6"/>
  <c r="B75" i="6"/>
  <c r="C75" i="6"/>
  <c r="B76" i="6"/>
  <c r="C76" i="6"/>
  <c r="B77" i="6"/>
  <c r="C77" i="6"/>
  <c r="F71" i="6"/>
  <c r="G71" i="6"/>
  <c r="H71" i="6"/>
  <c r="B51" i="6"/>
  <c r="C51" i="6"/>
  <c r="D51" i="6"/>
  <c r="B52" i="6"/>
  <c r="C52" i="6"/>
  <c r="D52" i="6"/>
  <c r="B53" i="6"/>
  <c r="C53" i="6"/>
  <c r="D53" i="6"/>
  <c r="B54" i="6"/>
  <c r="C54" i="6"/>
  <c r="D54" i="6"/>
  <c r="B55" i="6"/>
  <c r="C55" i="6"/>
  <c r="D55" i="6"/>
  <c r="B56" i="6"/>
  <c r="C56" i="6"/>
  <c r="D56" i="6"/>
  <c r="B57" i="6"/>
  <c r="C57" i="6"/>
  <c r="D57" i="6"/>
  <c r="B58" i="6"/>
  <c r="C58" i="6"/>
  <c r="D58" i="6"/>
  <c r="B59" i="6"/>
  <c r="C59" i="6"/>
  <c r="D59" i="6"/>
  <c r="B61" i="6"/>
  <c r="C61" i="6"/>
  <c r="D61" i="6"/>
  <c r="B62" i="6"/>
  <c r="C62" i="6"/>
  <c r="D62" i="6"/>
  <c r="B63" i="6"/>
  <c r="C63" i="6"/>
  <c r="D63" i="6"/>
  <c r="B64" i="6"/>
  <c r="C64" i="6"/>
  <c r="D64" i="6"/>
  <c r="B65" i="6"/>
  <c r="C65" i="6"/>
  <c r="D65" i="6"/>
  <c r="B66" i="6"/>
  <c r="C66" i="6"/>
  <c r="D66" i="6"/>
  <c r="B67" i="6"/>
  <c r="C67" i="6"/>
  <c r="D67" i="6"/>
  <c r="B68" i="6"/>
  <c r="C68" i="6"/>
  <c r="D68" i="6"/>
  <c r="B69" i="6"/>
  <c r="C69" i="6"/>
  <c r="D69" i="6"/>
  <c r="B70" i="6"/>
  <c r="C70" i="6"/>
  <c r="D70" i="6"/>
  <c r="B71" i="6"/>
  <c r="C71" i="6"/>
  <c r="D71" i="6"/>
  <c r="B78" i="6"/>
  <c r="C78" i="6"/>
  <c r="B79" i="6"/>
  <c r="C79" i="6"/>
  <c r="D79" i="6"/>
  <c r="B80" i="6"/>
  <c r="C80" i="6"/>
  <c r="D80" i="6"/>
  <c r="B81" i="6"/>
  <c r="C81" i="6"/>
  <c r="D81" i="6"/>
  <c r="B82" i="6"/>
  <c r="C82" i="6"/>
  <c r="D82" i="6"/>
  <c r="B83" i="6"/>
  <c r="C83" i="6"/>
  <c r="D83" i="6"/>
  <c r="F61" i="6"/>
  <c r="G61" i="6"/>
  <c r="H61" i="6"/>
  <c r="F62" i="6"/>
  <c r="G62" i="6"/>
  <c r="H62" i="6"/>
  <c r="F63" i="6"/>
  <c r="G63" i="6"/>
  <c r="H63" i="6"/>
  <c r="F64" i="6"/>
  <c r="G64" i="6"/>
  <c r="H64" i="6"/>
  <c r="F65" i="6"/>
  <c r="G65" i="6"/>
  <c r="H65" i="6"/>
  <c r="F52" i="6"/>
  <c r="G52" i="6"/>
  <c r="H52" i="6"/>
  <c r="F53" i="6"/>
  <c r="G53" i="6"/>
  <c r="H53" i="6"/>
  <c r="F54" i="6"/>
  <c r="G54" i="6"/>
  <c r="H54" i="6"/>
  <c r="F55" i="6"/>
  <c r="G55" i="6"/>
  <c r="H55" i="6"/>
  <c r="F56" i="6"/>
  <c r="G56" i="6"/>
  <c r="H56" i="6"/>
  <c r="F57" i="6"/>
  <c r="G57" i="6"/>
  <c r="H57" i="6"/>
  <c r="F58" i="6"/>
  <c r="G58" i="6"/>
  <c r="H58" i="6"/>
  <c r="F59" i="6"/>
  <c r="G59" i="6"/>
  <c r="H59" i="6"/>
  <c r="F47" i="6"/>
  <c r="G47" i="6"/>
  <c r="H47" i="6"/>
  <c r="F48" i="6"/>
  <c r="G48" i="6"/>
  <c r="H48" i="6"/>
  <c r="F49" i="6"/>
  <c r="G49" i="6"/>
  <c r="H49" i="6"/>
  <c r="F50" i="6"/>
  <c r="G50" i="6"/>
  <c r="H50" i="6"/>
  <c r="F51" i="6"/>
  <c r="G51" i="6"/>
  <c r="H51" i="6"/>
  <c r="B47" i="6"/>
  <c r="C47" i="6"/>
  <c r="D47" i="6"/>
  <c r="F40" i="6"/>
  <c r="G40" i="6"/>
  <c r="H40" i="6"/>
  <c r="B40" i="6"/>
  <c r="C40" i="6"/>
  <c r="D40" i="6"/>
  <c r="B36" i="6"/>
  <c r="C36" i="6"/>
  <c r="D36" i="6"/>
  <c r="F36" i="6"/>
  <c r="G36" i="6"/>
  <c r="H36" i="6"/>
  <c r="H32" i="6"/>
  <c r="G32" i="6"/>
  <c r="F32" i="6"/>
  <c r="D32" i="6"/>
  <c r="C32" i="6"/>
  <c r="B32" i="6"/>
  <c r="H28" i="6"/>
  <c r="G28" i="6"/>
  <c r="F28" i="6"/>
  <c r="D28" i="6"/>
  <c r="C28" i="6"/>
  <c r="B28" i="6"/>
  <c r="H24" i="6"/>
  <c r="G24" i="6"/>
  <c r="F24" i="6"/>
  <c r="D24" i="6"/>
  <c r="C24" i="6"/>
  <c r="B24" i="6"/>
  <c r="F13" i="6"/>
  <c r="G13" i="6"/>
  <c r="H13" i="6"/>
  <c r="F14" i="6"/>
  <c r="G14" i="6"/>
  <c r="H14" i="6"/>
  <c r="F15" i="6"/>
  <c r="G15" i="6"/>
  <c r="H15" i="6"/>
  <c r="F16" i="6"/>
  <c r="G16" i="6"/>
  <c r="H16" i="6"/>
  <c r="F17" i="6"/>
  <c r="G17" i="6"/>
  <c r="H17" i="6"/>
  <c r="F18" i="6"/>
  <c r="G18" i="6"/>
  <c r="H18" i="6"/>
  <c r="F19" i="6"/>
  <c r="G19" i="6"/>
  <c r="H19" i="6"/>
  <c r="F20" i="6"/>
  <c r="G20" i="6"/>
  <c r="H20" i="6"/>
  <c r="B13" i="6"/>
  <c r="C13" i="6"/>
  <c r="D13" i="6"/>
  <c r="B14" i="6"/>
  <c r="C14" i="6"/>
  <c r="D14" i="6"/>
  <c r="B15" i="6"/>
  <c r="C15" i="6"/>
  <c r="D15" i="6"/>
  <c r="B16" i="6"/>
  <c r="C16" i="6"/>
  <c r="D16" i="6"/>
  <c r="B17" i="6"/>
  <c r="C17" i="6"/>
  <c r="D17" i="6"/>
  <c r="B18" i="6"/>
  <c r="C18" i="6"/>
  <c r="D18" i="6"/>
  <c r="B19" i="6"/>
  <c r="C19" i="6"/>
  <c r="D19" i="6"/>
  <c r="B20" i="6"/>
  <c r="C20" i="6"/>
  <c r="D20" i="6"/>
  <c r="F10" i="6"/>
  <c r="G10" i="6"/>
  <c r="H10" i="6"/>
  <c r="F11" i="6"/>
  <c r="G11" i="6"/>
  <c r="H11" i="6"/>
  <c r="F12" i="6"/>
  <c r="G12" i="6"/>
  <c r="H12" i="6"/>
  <c r="B10" i="6"/>
  <c r="C10" i="6"/>
  <c r="D10" i="6"/>
  <c r="B11" i="6"/>
  <c r="C11" i="6"/>
  <c r="D11" i="6"/>
  <c r="B12" i="6"/>
  <c r="C12" i="6"/>
  <c r="D12" i="6"/>
  <c r="F8" i="6"/>
  <c r="G8" i="6"/>
  <c r="H8" i="6"/>
  <c r="F9" i="6"/>
  <c r="G9" i="6"/>
  <c r="H9" i="6"/>
  <c r="B8" i="6"/>
  <c r="C8" i="6"/>
  <c r="D8" i="6"/>
  <c r="B9" i="6"/>
  <c r="C9" i="6"/>
  <c r="D9" i="6"/>
  <c r="D7" i="6"/>
  <c r="C7" i="6"/>
  <c r="B7" i="6"/>
  <c r="D6" i="6"/>
  <c r="C6" i="6"/>
  <c r="B6" i="6"/>
  <c r="H7" i="6"/>
  <c r="G7" i="6"/>
  <c r="F7" i="6"/>
  <c r="H6" i="6"/>
  <c r="G6" i="6"/>
  <c r="F6" i="6"/>
  <c r="G5" i="6"/>
  <c r="F5" i="6"/>
  <c r="H4" i="6"/>
  <c r="G4" i="6"/>
  <c r="F4" i="6"/>
  <c r="C5" i="6"/>
  <c r="B5" i="6"/>
  <c r="D4" i="6"/>
  <c r="C4" i="6"/>
  <c r="B4" i="6"/>
  <c r="H83" i="6"/>
  <c r="G83" i="6"/>
  <c r="F83" i="6"/>
  <c r="H82" i="6"/>
  <c r="G82" i="6"/>
  <c r="F82" i="6"/>
  <c r="H81" i="6"/>
  <c r="G81" i="6"/>
  <c r="F81" i="6"/>
  <c r="H80" i="6"/>
  <c r="G80" i="6"/>
  <c r="F80" i="6"/>
  <c r="H79" i="6"/>
  <c r="G79" i="6"/>
  <c r="F79" i="6"/>
  <c r="H70" i="6"/>
  <c r="G70" i="6"/>
  <c r="F70" i="6"/>
  <c r="H69" i="6"/>
  <c r="G69" i="6"/>
  <c r="F69" i="6"/>
  <c r="H68" i="6"/>
  <c r="G68" i="6"/>
  <c r="F68" i="6"/>
  <c r="H67" i="6"/>
  <c r="G67" i="6"/>
  <c r="F67" i="6"/>
  <c r="H66" i="6"/>
  <c r="G66" i="6"/>
  <c r="F66" i="6"/>
  <c r="D50" i="6"/>
  <c r="C50" i="6"/>
  <c r="B50" i="6"/>
  <c r="D49" i="6"/>
  <c r="C49" i="6"/>
  <c r="B49" i="6"/>
  <c r="H46" i="6"/>
  <c r="G46" i="6"/>
  <c r="F46" i="6"/>
  <c r="H45" i="6"/>
  <c r="G45" i="6"/>
  <c r="F45" i="6"/>
  <c r="H44" i="6"/>
  <c r="G44" i="6"/>
  <c r="F44" i="6"/>
  <c r="D46" i="6"/>
  <c r="C46" i="6"/>
  <c r="B46" i="6"/>
  <c r="D45" i="6"/>
  <c r="C45" i="6"/>
  <c r="B45" i="6"/>
  <c r="H43" i="6"/>
  <c r="G43" i="6"/>
  <c r="F43" i="6"/>
  <c r="H42" i="6"/>
  <c r="G42" i="6"/>
  <c r="F42" i="6"/>
  <c r="H41" i="6"/>
  <c r="G41" i="6"/>
  <c r="F41" i="6"/>
  <c r="D43" i="6"/>
  <c r="C43" i="6"/>
  <c r="B43" i="6"/>
  <c r="D42" i="6"/>
  <c r="C42" i="6"/>
  <c r="B42" i="6"/>
  <c r="H39" i="6"/>
  <c r="G39" i="6"/>
  <c r="F39" i="6"/>
  <c r="H38" i="6"/>
  <c r="G38" i="6"/>
  <c r="F38" i="6"/>
  <c r="H37" i="6"/>
  <c r="G37" i="6"/>
  <c r="F37" i="6"/>
  <c r="D39" i="6"/>
  <c r="C39" i="6"/>
  <c r="B39" i="6"/>
  <c r="D38" i="6"/>
  <c r="C38" i="6"/>
  <c r="B38" i="6"/>
  <c r="H35" i="6"/>
  <c r="G35" i="6"/>
  <c r="F35" i="6"/>
  <c r="H34" i="6"/>
  <c r="G34" i="6"/>
  <c r="F34" i="6"/>
  <c r="H33" i="6"/>
  <c r="G33" i="6"/>
  <c r="F33" i="6"/>
  <c r="D35" i="6"/>
  <c r="C35" i="6"/>
  <c r="B35" i="6"/>
  <c r="D34" i="6"/>
  <c r="C34" i="6"/>
  <c r="B34" i="6"/>
  <c r="H31" i="6"/>
  <c r="G31" i="6"/>
  <c r="F31" i="6"/>
  <c r="H30" i="6"/>
  <c r="G30" i="6"/>
  <c r="F30" i="6"/>
  <c r="H29" i="6"/>
  <c r="G29" i="6"/>
  <c r="F29" i="6"/>
  <c r="D31" i="6"/>
  <c r="C31" i="6"/>
  <c r="B31" i="6"/>
  <c r="D30" i="6"/>
  <c r="C30" i="6"/>
  <c r="B30" i="6"/>
  <c r="H27" i="6"/>
  <c r="G27" i="6"/>
  <c r="F27" i="6"/>
  <c r="H26" i="6"/>
  <c r="G26" i="6"/>
  <c r="F26" i="6"/>
  <c r="H25" i="6"/>
  <c r="G25" i="6"/>
  <c r="F25" i="6"/>
  <c r="D27" i="6"/>
  <c r="C27" i="6"/>
  <c r="B27" i="6"/>
  <c r="D26" i="6"/>
  <c r="C26" i="6"/>
  <c r="B26" i="6"/>
  <c r="H23" i="6"/>
  <c r="G23" i="6"/>
  <c r="F23" i="6"/>
  <c r="H22" i="6"/>
  <c r="G22" i="6"/>
  <c r="F22" i="6"/>
  <c r="H21" i="6"/>
  <c r="G21" i="6"/>
  <c r="F21" i="6"/>
  <c r="D22" i="6"/>
  <c r="C22" i="6"/>
  <c r="B22" i="6"/>
  <c r="D21" i="6"/>
  <c r="C21" i="6"/>
  <c r="B21" i="6"/>
  <c r="C223" i="6"/>
  <c r="B223" i="6"/>
  <c r="C216" i="6"/>
  <c r="B216" i="6"/>
  <c r="C209" i="6"/>
  <c r="B209" i="6"/>
  <c r="C196" i="6"/>
  <c r="B196" i="6"/>
  <c r="C184" i="6"/>
  <c r="B184" i="6"/>
  <c r="C172" i="6"/>
  <c r="B172" i="6"/>
  <c r="C159" i="6"/>
  <c r="B159" i="6"/>
  <c r="C148" i="6"/>
  <c r="B148" i="6"/>
  <c r="C138" i="6"/>
  <c r="B138" i="6"/>
  <c r="C128" i="6"/>
  <c r="B128" i="6"/>
  <c r="C119" i="6"/>
  <c r="B119" i="6"/>
  <c r="C110" i="6"/>
  <c r="B110" i="6"/>
  <c r="C100" i="6"/>
  <c r="B100" i="6"/>
  <c r="C92" i="6"/>
  <c r="B92" i="6"/>
  <c r="C85" i="6"/>
  <c r="B85" i="6"/>
  <c r="G78" i="6"/>
  <c r="F78" i="6"/>
  <c r="D48" i="6"/>
  <c r="C48" i="6"/>
  <c r="B48" i="6"/>
  <c r="D44" i="6"/>
  <c r="C44" i="6"/>
  <c r="B44" i="6"/>
  <c r="D41" i="6"/>
  <c r="C41" i="6"/>
  <c r="B41" i="6"/>
  <c r="D37" i="6"/>
  <c r="C37" i="6"/>
  <c r="B37" i="6"/>
  <c r="D33" i="6"/>
  <c r="C33" i="6"/>
  <c r="B33" i="6"/>
  <c r="D29" i="6"/>
  <c r="C29" i="6"/>
  <c r="B29" i="6"/>
  <c r="D25" i="6"/>
  <c r="C25" i="6"/>
  <c r="B25" i="6"/>
  <c r="D23" i="6"/>
  <c r="C23" i="6"/>
  <c r="B23" i="6"/>
  <c r="D5" i="5" l="1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3" i="5"/>
  <c r="D25" i="5"/>
  <c r="D27" i="5"/>
  <c r="D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4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5" i="5"/>
  <c r="B6" i="5"/>
  <c r="B7" i="5"/>
  <c r="B4" i="5"/>
  <c r="F43" i="4" l="1"/>
  <c r="E58" i="3" l="1"/>
  <c r="E57" i="3"/>
  <c r="E56" i="3"/>
  <c r="E55" i="3"/>
  <c r="E53" i="3"/>
  <c r="E52" i="3"/>
  <c r="E51" i="3"/>
  <c r="E50" i="3"/>
  <c r="E49" i="3"/>
  <c r="E12" i="3"/>
  <c r="E11" i="3"/>
  <c r="E10" i="3"/>
  <c r="E9" i="3"/>
  <c r="E7" i="3"/>
  <c r="E6" i="3"/>
  <c r="E5" i="3"/>
  <c r="E4" i="3"/>
  <c r="E3" i="3"/>
  <c r="F82" i="4" l="1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E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</calcChain>
</file>

<file path=xl/sharedStrings.xml><?xml version="1.0" encoding="utf-8"?>
<sst xmlns="http://schemas.openxmlformats.org/spreadsheetml/2006/main" count="4537" uniqueCount="237">
  <si>
    <t>Ia系列</t>
    <phoneticPr fontId="1" type="noConversion"/>
  </si>
  <si>
    <t>Ib系列</t>
    <phoneticPr fontId="1" type="noConversion"/>
  </si>
  <si>
    <t>II系列</t>
    <phoneticPr fontId="1" type="noConversion"/>
  </si>
  <si>
    <t>II系列</t>
    <phoneticPr fontId="1" type="noConversion"/>
  </si>
  <si>
    <t>HG/T 20553-2011</t>
  </si>
  <si>
    <t>HG/T 20553-2011</t>
    <phoneticPr fontId="1" type="noConversion"/>
  </si>
  <si>
    <t>Sch.10S</t>
    <phoneticPr fontId="1" type="noConversion"/>
  </si>
  <si>
    <t>Standard</t>
    <phoneticPr fontId="1" type="noConversion"/>
  </si>
  <si>
    <t>Type</t>
    <phoneticPr fontId="1" type="noConversion"/>
  </si>
  <si>
    <t>DN</t>
    <phoneticPr fontId="1" type="noConversion"/>
  </si>
  <si>
    <t>NPS</t>
    <phoneticPr fontId="1" type="noConversion"/>
  </si>
  <si>
    <t>Sch.10</t>
    <phoneticPr fontId="1" type="noConversion"/>
  </si>
  <si>
    <t>Sch.30</t>
  </si>
  <si>
    <t>Sch.40S</t>
    <phoneticPr fontId="1" type="noConversion"/>
  </si>
  <si>
    <t>Sch.40</t>
    <phoneticPr fontId="1" type="noConversion"/>
  </si>
  <si>
    <t>Sch.80S</t>
    <phoneticPr fontId="1" type="noConversion"/>
  </si>
  <si>
    <t>Thk</t>
    <phoneticPr fontId="1" type="noConversion"/>
  </si>
  <si>
    <t>Sch.80</t>
    <phoneticPr fontId="1" type="noConversion"/>
  </si>
  <si>
    <t>Sch.140</t>
  </si>
  <si>
    <t>Sch.160</t>
  </si>
  <si>
    <t>Sch.160</t>
    <phoneticPr fontId="1" type="noConversion"/>
  </si>
  <si>
    <t>Sch.5S</t>
    <phoneticPr fontId="1" type="noConversion"/>
  </si>
  <si>
    <t>Sch.5</t>
    <phoneticPr fontId="1" type="noConversion"/>
  </si>
  <si>
    <t>Sch.5S</t>
  </si>
  <si>
    <t>Sch.5</t>
  </si>
  <si>
    <t>Sch.10S</t>
  </si>
  <si>
    <t>Sch.10</t>
  </si>
  <si>
    <t>Sch.40S</t>
  </si>
  <si>
    <t>Sch.40</t>
  </si>
  <si>
    <t>Sch.80S</t>
  </si>
  <si>
    <t>Sch.80</t>
  </si>
  <si>
    <t>HG/T 20553-2011</t>
    <phoneticPr fontId="1" type="noConversion"/>
  </si>
  <si>
    <t>Sch.120</t>
    <phoneticPr fontId="1" type="noConversion"/>
  </si>
  <si>
    <t>Sch.20</t>
  </si>
  <si>
    <t>Sch.60</t>
  </si>
  <si>
    <t>Sch.100</t>
  </si>
  <si>
    <t>HG/T 20553-2011</t>
    <phoneticPr fontId="1" type="noConversion"/>
  </si>
  <si>
    <t>04-1484</t>
  </si>
  <si>
    <t>04-1484</t>
    <phoneticPr fontId="1" type="noConversion"/>
  </si>
  <si>
    <t>Ia系列</t>
  </si>
  <si>
    <t>1/8"</t>
  </si>
  <si>
    <t>1/4"</t>
  </si>
  <si>
    <t>3/8"</t>
  </si>
  <si>
    <t>1/2"</t>
  </si>
  <si>
    <t>3/4"</t>
  </si>
  <si>
    <t>1"</t>
  </si>
  <si>
    <t>1 1/4"</t>
  </si>
  <si>
    <t>1 1/2"</t>
  </si>
  <si>
    <t>2"</t>
  </si>
  <si>
    <t>2 1/2"</t>
  </si>
  <si>
    <t>3"</t>
  </si>
  <si>
    <t>4"</t>
  </si>
  <si>
    <t>5"</t>
  </si>
  <si>
    <t>6"</t>
  </si>
  <si>
    <t>8"</t>
  </si>
  <si>
    <t>10"</t>
  </si>
  <si>
    <t>12"</t>
  </si>
  <si>
    <t>14"</t>
  </si>
  <si>
    <t>16"</t>
  </si>
  <si>
    <t>18"</t>
  </si>
  <si>
    <t>20"</t>
  </si>
  <si>
    <t>22"</t>
  </si>
  <si>
    <t>24"</t>
  </si>
  <si>
    <t>26"</t>
  </si>
  <si>
    <t>28"</t>
  </si>
  <si>
    <t>30"</t>
  </si>
  <si>
    <t>32"</t>
  </si>
  <si>
    <t>34"</t>
  </si>
  <si>
    <t>36"</t>
  </si>
  <si>
    <t>38"</t>
  </si>
  <si>
    <t>40"</t>
  </si>
  <si>
    <t>42"</t>
  </si>
  <si>
    <t>44"</t>
  </si>
  <si>
    <t>46"</t>
  </si>
  <si>
    <t>48"</t>
  </si>
  <si>
    <t>52"</t>
  </si>
  <si>
    <t>56"</t>
  </si>
  <si>
    <t>60"</t>
  </si>
  <si>
    <t>64"</t>
  </si>
  <si>
    <t>68"</t>
  </si>
  <si>
    <t>72"</t>
  </si>
  <si>
    <t>76"</t>
  </si>
  <si>
    <t>80"</t>
  </si>
  <si>
    <t>Ib系列</t>
  </si>
  <si>
    <t>II系列</t>
  </si>
  <si>
    <t>Type</t>
  </si>
  <si>
    <t>DN</t>
  </si>
  <si>
    <t>NPS</t>
  </si>
  <si>
    <t>Do</t>
  </si>
  <si>
    <t>L1</t>
    <phoneticPr fontId="1" type="noConversion"/>
  </si>
  <si>
    <t>DoA</t>
    <phoneticPr fontId="1" type="noConversion"/>
  </si>
  <si>
    <t>DoB</t>
    <phoneticPr fontId="1" type="noConversion"/>
  </si>
  <si>
    <t>04-70995</t>
    <phoneticPr fontId="1" type="noConversion"/>
  </si>
  <si>
    <t>04-1484</t>
    <phoneticPr fontId="1" type="noConversion"/>
  </si>
  <si>
    <t>HG/T 20553-2011</t>
    <phoneticPr fontId="1" type="noConversion"/>
  </si>
  <si>
    <t>1 1/4"</t>
    <phoneticPr fontId="1" type="noConversion"/>
  </si>
  <si>
    <t>50"</t>
    <phoneticPr fontId="1" type="noConversion"/>
  </si>
  <si>
    <t>54"</t>
    <phoneticPr fontId="1" type="noConversion"/>
  </si>
  <si>
    <t>58"</t>
    <phoneticPr fontId="1" type="noConversion"/>
  </si>
  <si>
    <t>Ia系列</t>
    <phoneticPr fontId="1" type="noConversion"/>
  </si>
  <si>
    <t>6.3mm</t>
  </si>
  <si>
    <t>7.1mm</t>
  </si>
  <si>
    <t>8mm</t>
  </si>
  <si>
    <t>8.8mm</t>
  </si>
  <si>
    <t>10mm</t>
  </si>
  <si>
    <t>11mm</t>
  </si>
  <si>
    <t>12.5mm</t>
  </si>
  <si>
    <t>14.2mm</t>
  </si>
  <si>
    <t>16mm</t>
  </si>
  <si>
    <t>17.5mm</t>
  </si>
  <si>
    <t>20mm</t>
  </si>
  <si>
    <t>1.2mm</t>
  </si>
  <si>
    <t>1.6mm</t>
  </si>
  <si>
    <t>1.8mm</t>
  </si>
  <si>
    <t>2mm</t>
  </si>
  <si>
    <t>2.2mm</t>
  </si>
  <si>
    <t>2.5mm</t>
  </si>
  <si>
    <t>2.8mm</t>
  </si>
  <si>
    <t>3mm</t>
  </si>
  <si>
    <t>3.2mm</t>
  </si>
  <si>
    <t>3.5mm</t>
  </si>
  <si>
    <t>4mm</t>
  </si>
  <si>
    <t>4.5mm</t>
  </si>
  <si>
    <t>5mm</t>
  </si>
  <si>
    <t>5.5mm</t>
  </si>
  <si>
    <t>6mm</t>
  </si>
  <si>
    <t>6.5mm</t>
  </si>
  <si>
    <t>7mm</t>
  </si>
  <si>
    <t>7.5mm</t>
  </si>
  <si>
    <t>8.5mm</t>
  </si>
  <si>
    <t>9mm</t>
  </si>
  <si>
    <t>9.5mm</t>
  </si>
  <si>
    <t>12mm</t>
  </si>
  <si>
    <t>13mm</t>
  </si>
  <si>
    <t>14mm</t>
  </si>
  <si>
    <t>15mm</t>
  </si>
  <si>
    <t>18mm</t>
  </si>
  <si>
    <t>22mm</t>
  </si>
  <si>
    <t>24mm</t>
  </si>
  <si>
    <t>25mm</t>
  </si>
  <si>
    <t>28mm</t>
  </si>
  <si>
    <t>30mm</t>
  </si>
  <si>
    <t>32mm</t>
  </si>
  <si>
    <t>34mm</t>
  </si>
  <si>
    <t>36mm</t>
  </si>
  <si>
    <t>38mm</t>
  </si>
  <si>
    <t>40mm</t>
  </si>
  <si>
    <t>42mm</t>
  </si>
  <si>
    <t>45mm</t>
  </si>
  <si>
    <t>48mm</t>
  </si>
  <si>
    <t>50mm</t>
  </si>
  <si>
    <t>55mm</t>
  </si>
  <si>
    <t>60mm</t>
  </si>
  <si>
    <t>17mm</t>
  </si>
  <si>
    <t>19mm</t>
  </si>
  <si>
    <t>Ⅰ型/Ⅲ型</t>
    <phoneticPr fontId="1" type="noConversion"/>
  </si>
  <si>
    <t>Ⅱ型/Ⅳ型</t>
    <phoneticPr fontId="1" type="noConversion"/>
  </si>
  <si>
    <t>NPS_1</t>
    <phoneticPr fontId="1" type="noConversion"/>
  </si>
  <si>
    <t>Thk_Sch</t>
    <phoneticPr fontId="1" type="noConversion"/>
  </si>
  <si>
    <t>II系列</t>
    <phoneticPr fontId="1" type="noConversion"/>
  </si>
  <si>
    <t>Ia系列</t>
    <phoneticPr fontId="1" type="noConversion"/>
  </si>
  <si>
    <t>II系列</t>
    <phoneticPr fontId="1" type="noConversion"/>
  </si>
  <si>
    <t>II系列</t>
    <phoneticPr fontId="1" type="noConversion"/>
  </si>
  <si>
    <t>DN</t>
    <phoneticPr fontId="1" type="noConversion"/>
  </si>
  <si>
    <t>A</t>
    <phoneticPr fontId="1" type="noConversion"/>
  </si>
  <si>
    <t>B</t>
    <phoneticPr fontId="1" type="noConversion"/>
  </si>
  <si>
    <t>90°弯头</t>
    <phoneticPr fontId="1" type="noConversion"/>
  </si>
  <si>
    <t>45°弯头</t>
    <phoneticPr fontId="1" type="noConversion"/>
  </si>
  <si>
    <t>Do</t>
    <phoneticPr fontId="1" type="noConversion"/>
  </si>
  <si>
    <t>I系列</t>
    <phoneticPr fontId="1" type="noConversion"/>
  </si>
  <si>
    <t>长半径</t>
    <phoneticPr fontId="1" type="noConversion"/>
  </si>
  <si>
    <t>180°弯头</t>
    <phoneticPr fontId="1" type="noConversion"/>
  </si>
  <si>
    <t>O</t>
    <phoneticPr fontId="1" type="noConversion"/>
  </si>
  <si>
    <t>短半径</t>
    <phoneticPr fontId="1" type="noConversion"/>
  </si>
  <si>
    <t>3D</t>
    <phoneticPr fontId="1" type="noConversion"/>
  </si>
  <si>
    <t>等径三通四通</t>
    <phoneticPr fontId="1" type="noConversion"/>
  </si>
  <si>
    <t>C</t>
    <phoneticPr fontId="1" type="noConversion"/>
  </si>
  <si>
    <t>M</t>
    <phoneticPr fontId="1" type="noConversion"/>
  </si>
  <si>
    <t>主管</t>
    <phoneticPr fontId="1" type="noConversion"/>
  </si>
  <si>
    <t>支管</t>
    <phoneticPr fontId="1" type="noConversion"/>
  </si>
  <si>
    <t>管帽</t>
    <phoneticPr fontId="1" type="noConversion"/>
  </si>
  <si>
    <t>翻边短节</t>
    <phoneticPr fontId="1" type="noConversion"/>
  </si>
  <si>
    <t>GB/T12459—2017</t>
    <phoneticPr fontId="1" type="noConversion"/>
  </si>
  <si>
    <t>E</t>
    <phoneticPr fontId="1" type="noConversion"/>
  </si>
  <si>
    <t>短节外径</t>
    <phoneticPr fontId="1" type="noConversion"/>
  </si>
  <si>
    <t>短节长度</t>
    <phoneticPr fontId="1" type="noConversion"/>
  </si>
  <si>
    <t>F1</t>
    <phoneticPr fontId="1" type="noConversion"/>
  </si>
  <si>
    <t>F2</t>
    <phoneticPr fontId="1" type="noConversion"/>
  </si>
  <si>
    <t>Dmax</t>
    <phoneticPr fontId="1" type="noConversion"/>
  </si>
  <si>
    <t>Dmin</t>
    <phoneticPr fontId="1" type="noConversion"/>
  </si>
  <si>
    <t>圆角半径</t>
    <phoneticPr fontId="1" type="noConversion"/>
  </si>
  <si>
    <t>搭边外径</t>
    <phoneticPr fontId="1" type="noConversion"/>
  </si>
  <si>
    <t>R</t>
    <phoneticPr fontId="1" type="noConversion"/>
  </si>
  <si>
    <t>G</t>
    <phoneticPr fontId="1" type="noConversion"/>
  </si>
  <si>
    <t>高度</t>
    <phoneticPr fontId="1" type="noConversion"/>
  </si>
  <si>
    <t>DN1</t>
    <phoneticPr fontId="1" type="noConversion"/>
  </si>
  <si>
    <t>DN2</t>
    <phoneticPr fontId="1" type="noConversion"/>
  </si>
  <si>
    <t>A/mm</t>
    <phoneticPr fontId="1" type="noConversion"/>
  </si>
  <si>
    <t>长半径异</t>
    <phoneticPr fontId="1" type="noConversion"/>
  </si>
  <si>
    <t>异径三通四通</t>
    <phoneticPr fontId="1" type="noConversion"/>
  </si>
  <si>
    <t>GB/T12459—2017</t>
  </si>
  <si>
    <t>GB/T12459—2017</t>
    <phoneticPr fontId="1" type="noConversion"/>
  </si>
  <si>
    <t>Ⅰ型</t>
    <phoneticPr fontId="1" type="noConversion"/>
  </si>
  <si>
    <t>Ⅱ型</t>
    <phoneticPr fontId="1" type="noConversion"/>
  </si>
  <si>
    <t>Ⅲ型</t>
    <phoneticPr fontId="1" type="noConversion"/>
  </si>
  <si>
    <t>Ⅳ型</t>
    <phoneticPr fontId="1" type="noConversion"/>
  </si>
  <si>
    <t>3D 45°弯头</t>
    <phoneticPr fontId="1" type="noConversion"/>
  </si>
  <si>
    <t>3D 90°弯头</t>
    <phoneticPr fontId="1" type="noConversion"/>
  </si>
  <si>
    <t>长半径 180°弯头</t>
    <phoneticPr fontId="1" type="noConversion"/>
  </si>
  <si>
    <t>短半径 90°弯头</t>
    <phoneticPr fontId="1" type="noConversion"/>
  </si>
  <si>
    <t>短半径 180°弯头</t>
    <phoneticPr fontId="1" type="noConversion"/>
  </si>
  <si>
    <t>等径三通</t>
    <phoneticPr fontId="1" type="noConversion"/>
  </si>
  <si>
    <t>等径四通</t>
    <phoneticPr fontId="1" type="noConversion"/>
  </si>
  <si>
    <t>管帽</t>
  </si>
  <si>
    <t>翻边短节(长型)</t>
    <phoneticPr fontId="1" type="noConversion"/>
  </si>
  <si>
    <t>翻边短节(短型)</t>
    <phoneticPr fontId="1" type="noConversion"/>
  </si>
  <si>
    <t>长半径 45°弯头</t>
    <phoneticPr fontId="1" type="noConversion"/>
  </si>
  <si>
    <t>长半径 90°弯头</t>
    <phoneticPr fontId="1" type="noConversion"/>
  </si>
  <si>
    <t>长半径异90°弯头</t>
    <phoneticPr fontId="1" type="noConversion"/>
  </si>
  <si>
    <t>异径三通</t>
    <phoneticPr fontId="1" type="noConversion"/>
  </si>
  <si>
    <t>异径四通</t>
    <phoneticPr fontId="1" type="noConversion"/>
  </si>
  <si>
    <t>Ia系列</t>
    <phoneticPr fontId="1" type="noConversion"/>
  </si>
  <si>
    <t>II系列</t>
    <phoneticPr fontId="1" type="noConversion"/>
  </si>
  <si>
    <t>管件标准</t>
    <phoneticPr fontId="1" type="noConversion"/>
  </si>
  <si>
    <t>类型</t>
    <phoneticPr fontId="1" type="noConversion"/>
  </si>
  <si>
    <t>公称直径1</t>
    <phoneticPr fontId="1" type="noConversion"/>
  </si>
  <si>
    <t>管子系列</t>
    <phoneticPr fontId="1" type="noConversion"/>
  </si>
  <si>
    <t>Ib系列</t>
    <phoneticPr fontId="1" type="noConversion"/>
  </si>
  <si>
    <t>公称直径2</t>
  </si>
  <si>
    <t>壁厚</t>
    <phoneticPr fontId="1" type="noConversion"/>
  </si>
  <si>
    <t>HG/T 20553-2011</t>
    <phoneticPr fontId="1" type="noConversion"/>
  </si>
  <si>
    <t>04-70995</t>
  </si>
  <si>
    <t>翻边短节(长型)</t>
  </si>
  <si>
    <t>焊接管</t>
    <phoneticPr fontId="1" type="noConversion"/>
  </si>
  <si>
    <t>焊接</t>
    <phoneticPr fontId="1" type="noConversion"/>
  </si>
  <si>
    <t>无缝</t>
  </si>
  <si>
    <t>无缝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</si>
</sst>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workbookViewId="0">
      <selection activeCell="H14" sqref="H14"/>
    </sheetView>
  </sheetViews>
  <sheetFormatPr defaultRowHeight="13.5" x14ac:dyDescent="0.15"/>
  <cols>
    <col min="1" max="1" width="8.5" customWidth="1"/>
    <col min="5" max="5" width="9" style="1"/>
  </cols>
  <sheetData>
    <row r="1" spans="1:6" s="11" customFormat="1" x14ac:dyDescent="0.15">
      <c r="A1" s="11">
        <v>99</v>
      </c>
      <c r="B1" s="11">
        <v>5</v>
      </c>
      <c r="E1" s="1"/>
    </row>
    <row r="2" spans="1:6" s="8" customFormat="1" x14ac:dyDescent="0.15">
      <c r="A2" s="10" t="s">
        <v>85</v>
      </c>
      <c r="B2" s="10" t="s">
        <v>86</v>
      </c>
      <c r="C2" s="10" t="s">
        <v>87</v>
      </c>
      <c r="D2" s="10" t="s">
        <v>88</v>
      </c>
      <c r="E2" s="12" t="s">
        <v>157</v>
      </c>
    </row>
    <row r="3" spans="1:6" x14ac:dyDescent="0.15">
      <c r="A3" s="9" t="s">
        <v>39</v>
      </c>
      <c r="B3" s="9">
        <v>6</v>
      </c>
      <c r="C3" s="9" t="s">
        <v>40</v>
      </c>
      <c r="D3" s="9">
        <v>10.199999999999999</v>
      </c>
      <c r="E3" s="12">
        <f>1/8</f>
        <v>0.125</v>
      </c>
    </row>
    <row r="4" spans="1:6" x14ac:dyDescent="0.15">
      <c r="A4" s="12" t="s">
        <v>39</v>
      </c>
      <c r="B4" s="9">
        <v>8</v>
      </c>
      <c r="C4" s="9" t="s">
        <v>41</v>
      </c>
      <c r="D4" s="9">
        <v>13.5</v>
      </c>
      <c r="E4" s="12">
        <f>1/4</f>
        <v>0.25</v>
      </c>
      <c r="F4" s="11"/>
    </row>
    <row r="5" spans="1:6" x14ac:dyDescent="0.15">
      <c r="A5" s="12" t="s">
        <v>39</v>
      </c>
      <c r="B5" s="9">
        <v>10</v>
      </c>
      <c r="C5" s="9" t="s">
        <v>42</v>
      </c>
      <c r="D5" s="9">
        <v>17.2</v>
      </c>
      <c r="E5" s="12">
        <f>3/8</f>
        <v>0.375</v>
      </c>
      <c r="F5" s="11"/>
    </row>
    <row r="6" spans="1:6" x14ac:dyDescent="0.15">
      <c r="A6" s="12" t="s">
        <v>39</v>
      </c>
      <c r="B6" s="9">
        <v>15</v>
      </c>
      <c r="C6" s="9" t="s">
        <v>43</v>
      </c>
      <c r="D6" s="9">
        <v>21.3</v>
      </c>
      <c r="E6" s="12">
        <f>1/2</f>
        <v>0.5</v>
      </c>
      <c r="F6" s="11"/>
    </row>
    <row r="7" spans="1:6" x14ac:dyDescent="0.15">
      <c r="A7" s="12" t="s">
        <v>39</v>
      </c>
      <c r="B7" s="9">
        <v>20</v>
      </c>
      <c r="C7" s="9" t="s">
        <v>44</v>
      </c>
      <c r="D7" s="9">
        <v>26.9</v>
      </c>
      <c r="E7" s="12">
        <f>3/4</f>
        <v>0.75</v>
      </c>
      <c r="F7" s="11"/>
    </row>
    <row r="8" spans="1:6" x14ac:dyDescent="0.15">
      <c r="A8" s="12" t="s">
        <v>39</v>
      </c>
      <c r="B8" s="9">
        <v>25</v>
      </c>
      <c r="C8" s="9" t="s">
        <v>45</v>
      </c>
      <c r="D8" s="9">
        <v>33.700000000000003</v>
      </c>
      <c r="E8" s="12">
        <v>1</v>
      </c>
      <c r="F8" s="11"/>
    </row>
    <row r="9" spans="1:6" x14ac:dyDescent="0.15">
      <c r="A9" s="12" t="s">
        <v>39</v>
      </c>
      <c r="B9" s="9">
        <v>32</v>
      </c>
      <c r="C9" s="9" t="s">
        <v>95</v>
      </c>
      <c r="D9" s="9">
        <v>42.4</v>
      </c>
      <c r="E9" s="12">
        <f>1+1/4</f>
        <v>1.25</v>
      </c>
      <c r="F9" s="11"/>
    </row>
    <row r="10" spans="1:6" x14ac:dyDescent="0.15">
      <c r="A10" s="12" t="s">
        <v>39</v>
      </c>
      <c r="B10" s="9">
        <v>40</v>
      </c>
      <c r="C10" s="9" t="s">
        <v>47</v>
      </c>
      <c r="D10" s="9">
        <v>48.3</v>
      </c>
      <c r="E10" s="12">
        <f>1+1/2</f>
        <v>1.5</v>
      </c>
      <c r="F10" s="11"/>
    </row>
    <row r="11" spans="1:6" x14ac:dyDescent="0.15">
      <c r="A11" s="12" t="s">
        <v>39</v>
      </c>
      <c r="B11" s="9">
        <v>50</v>
      </c>
      <c r="C11" s="9" t="s">
        <v>48</v>
      </c>
      <c r="D11" s="9">
        <v>60.3</v>
      </c>
      <c r="E11" s="12">
        <f>2</f>
        <v>2</v>
      </c>
    </row>
    <row r="12" spans="1:6" x14ac:dyDescent="0.15">
      <c r="A12" s="12" t="s">
        <v>39</v>
      </c>
      <c r="B12" s="9">
        <v>65</v>
      </c>
      <c r="C12" s="9" t="s">
        <v>49</v>
      </c>
      <c r="D12" s="9">
        <v>76.099999999999994</v>
      </c>
      <c r="E12" s="12">
        <f>2+1/2</f>
        <v>2.5</v>
      </c>
    </row>
    <row r="13" spans="1:6" x14ac:dyDescent="0.15">
      <c r="A13" s="12" t="s">
        <v>160</v>
      </c>
      <c r="B13" s="9">
        <v>80</v>
      </c>
      <c r="C13" s="9" t="s">
        <v>50</v>
      </c>
      <c r="D13" s="9">
        <v>88.9</v>
      </c>
      <c r="E13" s="12">
        <v>3</v>
      </c>
    </row>
    <row r="14" spans="1:6" x14ac:dyDescent="0.15">
      <c r="A14" s="12" t="s">
        <v>39</v>
      </c>
      <c r="B14" s="9">
        <v>100</v>
      </c>
      <c r="C14" s="9" t="s">
        <v>51</v>
      </c>
      <c r="D14" s="9">
        <v>114.3</v>
      </c>
      <c r="E14" s="12">
        <v>4</v>
      </c>
    </row>
    <row r="15" spans="1:6" x14ac:dyDescent="0.15">
      <c r="A15" s="12" t="s">
        <v>39</v>
      </c>
      <c r="B15" s="9">
        <v>125</v>
      </c>
      <c r="C15" s="9" t="s">
        <v>52</v>
      </c>
      <c r="D15" s="9">
        <v>139.69999999999999</v>
      </c>
      <c r="E15" s="12">
        <v>5</v>
      </c>
    </row>
    <row r="16" spans="1:6" x14ac:dyDescent="0.15">
      <c r="A16" s="12" t="s">
        <v>39</v>
      </c>
      <c r="B16" s="9">
        <v>150</v>
      </c>
      <c r="C16" s="9" t="s">
        <v>53</v>
      </c>
      <c r="D16" s="9">
        <v>168.3</v>
      </c>
      <c r="E16" s="12">
        <v>6</v>
      </c>
    </row>
    <row r="17" spans="1:5" x14ac:dyDescent="0.15">
      <c r="A17" s="12" t="s">
        <v>39</v>
      </c>
      <c r="B17" s="9">
        <v>200</v>
      </c>
      <c r="C17" s="9" t="s">
        <v>54</v>
      </c>
      <c r="D17" s="9">
        <v>219.1</v>
      </c>
      <c r="E17" s="12">
        <v>8</v>
      </c>
    </row>
    <row r="18" spans="1:5" x14ac:dyDescent="0.15">
      <c r="A18" s="12" t="s">
        <v>39</v>
      </c>
      <c r="B18" s="9">
        <v>250</v>
      </c>
      <c r="C18" s="9" t="s">
        <v>55</v>
      </c>
      <c r="D18" s="9">
        <v>273</v>
      </c>
      <c r="E18" s="12">
        <v>10</v>
      </c>
    </row>
    <row r="19" spans="1:5" x14ac:dyDescent="0.15">
      <c r="A19" s="12" t="s">
        <v>39</v>
      </c>
      <c r="B19" s="9">
        <v>300</v>
      </c>
      <c r="C19" s="9" t="s">
        <v>56</v>
      </c>
      <c r="D19" s="9">
        <v>323.89999999999998</v>
      </c>
      <c r="E19" s="12">
        <v>12</v>
      </c>
    </row>
    <row r="20" spans="1:5" x14ac:dyDescent="0.15">
      <c r="A20" s="12" t="s">
        <v>39</v>
      </c>
      <c r="B20" s="9">
        <v>350</v>
      </c>
      <c r="C20" s="9" t="s">
        <v>57</v>
      </c>
      <c r="D20" s="9">
        <v>355.6</v>
      </c>
      <c r="E20" s="12">
        <v>14</v>
      </c>
    </row>
    <row r="21" spans="1:5" x14ac:dyDescent="0.15">
      <c r="A21" s="12" t="s">
        <v>39</v>
      </c>
      <c r="B21" s="9">
        <v>400</v>
      </c>
      <c r="C21" s="9" t="s">
        <v>58</v>
      </c>
      <c r="D21" s="9">
        <v>406.4</v>
      </c>
      <c r="E21" s="12">
        <v>16</v>
      </c>
    </row>
    <row r="22" spans="1:5" x14ac:dyDescent="0.15">
      <c r="A22" s="12" t="s">
        <v>39</v>
      </c>
      <c r="B22" s="9">
        <v>450</v>
      </c>
      <c r="C22" s="9" t="s">
        <v>59</v>
      </c>
      <c r="D22" s="9">
        <v>457</v>
      </c>
      <c r="E22" s="12">
        <v>18</v>
      </c>
    </row>
    <row r="23" spans="1:5" x14ac:dyDescent="0.15">
      <c r="A23" s="12" t="s">
        <v>39</v>
      </c>
      <c r="B23" s="9">
        <v>500</v>
      </c>
      <c r="C23" s="9" t="s">
        <v>60</v>
      </c>
      <c r="D23" s="9">
        <v>508</v>
      </c>
      <c r="E23" s="12">
        <v>20</v>
      </c>
    </row>
    <row r="24" spans="1:5" x14ac:dyDescent="0.15">
      <c r="A24" s="12" t="s">
        <v>39</v>
      </c>
      <c r="B24" s="9">
        <v>550</v>
      </c>
      <c r="C24" s="9" t="s">
        <v>61</v>
      </c>
      <c r="D24" s="9">
        <v>559</v>
      </c>
      <c r="E24" s="12">
        <v>22</v>
      </c>
    </row>
    <row r="25" spans="1:5" x14ac:dyDescent="0.15">
      <c r="A25" s="12" t="s">
        <v>39</v>
      </c>
      <c r="B25" s="9">
        <v>600</v>
      </c>
      <c r="C25" s="9" t="s">
        <v>62</v>
      </c>
      <c r="D25" s="9">
        <v>610</v>
      </c>
      <c r="E25" s="12">
        <v>24</v>
      </c>
    </row>
    <row r="26" spans="1:5" x14ac:dyDescent="0.15">
      <c r="A26" s="12" t="s">
        <v>39</v>
      </c>
      <c r="B26" s="9">
        <v>650</v>
      </c>
      <c r="C26" s="9" t="s">
        <v>63</v>
      </c>
      <c r="D26" s="9">
        <v>660</v>
      </c>
      <c r="E26" s="12">
        <v>26</v>
      </c>
    </row>
    <row r="27" spans="1:5" x14ac:dyDescent="0.15">
      <c r="A27" s="12" t="s">
        <v>39</v>
      </c>
      <c r="B27" s="9">
        <v>700</v>
      </c>
      <c r="C27" s="9" t="s">
        <v>64</v>
      </c>
      <c r="D27" s="9">
        <v>711</v>
      </c>
      <c r="E27" s="12">
        <v>28</v>
      </c>
    </row>
    <row r="28" spans="1:5" x14ac:dyDescent="0.15">
      <c r="A28" s="12" t="s">
        <v>39</v>
      </c>
      <c r="B28" s="9">
        <v>750</v>
      </c>
      <c r="C28" s="9" t="s">
        <v>65</v>
      </c>
      <c r="D28" s="9">
        <v>762</v>
      </c>
      <c r="E28" s="12">
        <v>30</v>
      </c>
    </row>
    <row r="29" spans="1:5" x14ac:dyDescent="0.15">
      <c r="A29" s="12" t="s">
        <v>39</v>
      </c>
      <c r="B29" s="9">
        <v>800</v>
      </c>
      <c r="C29" s="9" t="s">
        <v>66</v>
      </c>
      <c r="D29" s="9">
        <v>813</v>
      </c>
      <c r="E29" s="12">
        <v>32</v>
      </c>
    </row>
    <row r="30" spans="1:5" x14ac:dyDescent="0.15">
      <c r="A30" s="12" t="s">
        <v>39</v>
      </c>
      <c r="B30" s="9">
        <v>850</v>
      </c>
      <c r="C30" s="9" t="s">
        <v>67</v>
      </c>
      <c r="D30" s="9">
        <v>864</v>
      </c>
      <c r="E30" s="12">
        <v>34</v>
      </c>
    </row>
    <row r="31" spans="1:5" x14ac:dyDescent="0.15">
      <c r="A31" s="12" t="s">
        <v>39</v>
      </c>
      <c r="B31" s="9">
        <v>900</v>
      </c>
      <c r="C31" s="9" t="s">
        <v>68</v>
      </c>
      <c r="D31" s="9">
        <v>914</v>
      </c>
      <c r="E31" s="12">
        <v>36</v>
      </c>
    </row>
    <row r="32" spans="1:5" x14ac:dyDescent="0.15">
      <c r="A32" s="12" t="s">
        <v>39</v>
      </c>
      <c r="B32" s="9">
        <v>950</v>
      </c>
      <c r="C32" s="9" t="s">
        <v>69</v>
      </c>
      <c r="D32" s="9">
        <v>955</v>
      </c>
      <c r="E32" s="12">
        <v>38</v>
      </c>
    </row>
    <row r="33" spans="1:5" x14ac:dyDescent="0.15">
      <c r="A33" s="12" t="s">
        <v>39</v>
      </c>
      <c r="B33" s="9">
        <v>1000</v>
      </c>
      <c r="C33" s="9" t="s">
        <v>70</v>
      </c>
      <c r="D33" s="9">
        <v>1016</v>
      </c>
      <c r="E33" s="12">
        <v>40</v>
      </c>
    </row>
    <row r="34" spans="1:5" x14ac:dyDescent="0.15">
      <c r="A34" s="12" t="s">
        <v>39</v>
      </c>
      <c r="B34" s="9">
        <v>1050</v>
      </c>
      <c r="C34" s="9" t="s">
        <v>71</v>
      </c>
      <c r="D34" s="9">
        <v>1067</v>
      </c>
      <c r="E34" s="12">
        <v>42</v>
      </c>
    </row>
    <row r="35" spans="1:5" x14ac:dyDescent="0.15">
      <c r="A35" s="12" t="s">
        <v>39</v>
      </c>
      <c r="B35" s="9">
        <v>1100</v>
      </c>
      <c r="C35" s="9" t="s">
        <v>72</v>
      </c>
      <c r="D35" s="9">
        <v>1118</v>
      </c>
      <c r="E35" s="12">
        <v>44</v>
      </c>
    </row>
    <row r="36" spans="1:5" x14ac:dyDescent="0.15">
      <c r="A36" s="12" t="s">
        <v>39</v>
      </c>
      <c r="B36" s="9">
        <v>1150</v>
      </c>
      <c r="C36" s="9" t="s">
        <v>73</v>
      </c>
      <c r="D36" s="9">
        <v>1168</v>
      </c>
      <c r="E36" s="12">
        <v>46</v>
      </c>
    </row>
    <row r="37" spans="1:5" x14ac:dyDescent="0.15">
      <c r="A37" s="12" t="s">
        <v>99</v>
      </c>
      <c r="B37" s="9">
        <v>1200</v>
      </c>
      <c r="C37" s="9" t="s">
        <v>74</v>
      </c>
      <c r="D37" s="9">
        <v>1219</v>
      </c>
      <c r="E37" s="12">
        <v>48</v>
      </c>
    </row>
    <row r="38" spans="1:5" s="11" customFormat="1" x14ac:dyDescent="0.15">
      <c r="A38" s="7" t="s">
        <v>99</v>
      </c>
      <c r="B38" s="7">
        <v>1250</v>
      </c>
      <c r="C38" s="7" t="s">
        <v>96</v>
      </c>
      <c r="D38" s="7">
        <v>1270</v>
      </c>
      <c r="E38" s="12">
        <v>50</v>
      </c>
    </row>
    <row r="39" spans="1:5" x14ac:dyDescent="0.15">
      <c r="A39" s="12" t="s">
        <v>39</v>
      </c>
      <c r="B39" s="9">
        <v>1300</v>
      </c>
      <c r="C39" s="9" t="s">
        <v>75</v>
      </c>
      <c r="D39" s="9">
        <v>1321</v>
      </c>
      <c r="E39" s="12">
        <v>52</v>
      </c>
    </row>
    <row r="40" spans="1:5" s="11" customFormat="1" x14ac:dyDescent="0.15">
      <c r="A40" s="7" t="s">
        <v>99</v>
      </c>
      <c r="B40" s="7">
        <v>1350</v>
      </c>
      <c r="C40" s="7" t="s">
        <v>97</v>
      </c>
      <c r="D40" s="7">
        <v>1372</v>
      </c>
      <c r="E40" s="12">
        <v>54</v>
      </c>
    </row>
    <row r="41" spans="1:5" x14ac:dyDescent="0.15">
      <c r="A41" s="12" t="s">
        <v>39</v>
      </c>
      <c r="B41" s="9">
        <v>1400</v>
      </c>
      <c r="C41" s="9" t="s">
        <v>76</v>
      </c>
      <c r="D41" s="9">
        <v>1422</v>
      </c>
      <c r="E41" s="12">
        <v>56</v>
      </c>
    </row>
    <row r="42" spans="1:5" s="11" customFormat="1" x14ac:dyDescent="0.15">
      <c r="A42" s="7" t="s">
        <v>99</v>
      </c>
      <c r="B42" s="7">
        <v>1450</v>
      </c>
      <c r="C42" s="7" t="s">
        <v>98</v>
      </c>
      <c r="D42" s="7">
        <v>1473</v>
      </c>
      <c r="E42" s="12">
        <v>58</v>
      </c>
    </row>
    <row r="43" spans="1:5" x14ac:dyDescent="0.15">
      <c r="A43" s="12" t="s">
        <v>39</v>
      </c>
      <c r="B43" s="9">
        <v>1500</v>
      </c>
      <c r="C43" s="9" t="s">
        <v>77</v>
      </c>
      <c r="D43" s="9">
        <v>1524</v>
      </c>
      <c r="E43" s="12">
        <v>60</v>
      </c>
    </row>
    <row r="44" spans="1:5" x14ac:dyDescent="0.15">
      <c r="A44" s="12" t="s">
        <v>39</v>
      </c>
      <c r="B44" s="9">
        <v>1600</v>
      </c>
      <c r="C44" s="9" t="s">
        <v>78</v>
      </c>
      <c r="D44" s="9">
        <v>1626</v>
      </c>
      <c r="E44" s="12">
        <v>64</v>
      </c>
    </row>
    <row r="45" spans="1:5" x14ac:dyDescent="0.15">
      <c r="A45" s="12" t="s">
        <v>39</v>
      </c>
      <c r="B45" s="9">
        <v>1700</v>
      </c>
      <c r="C45" s="9" t="s">
        <v>79</v>
      </c>
      <c r="D45" s="9">
        <v>1727</v>
      </c>
      <c r="E45" s="12">
        <v>68</v>
      </c>
    </row>
    <row r="46" spans="1:5" x14ac:dyDescent="0.15">
      <c r="A46" s="12" t="s">
        <v>39</v>
      </c>
      <c r="B46" s="9">
        <v>1800</v>
      </c>
      <c r="C46" s="9" t="s">
        <v>80</v>
      </c>
      <c r="D46" s="9">
        <v>1829</v>
      </c>
      <c r="E46" s="12">
        <v>72</v>
      </c>
    </row>
    <row r="47" spans="1:5" x14ac:dyDescent="0.15">
      <c r="A47" s="12" t="s">
        <v>39</v>
      </c>
      <c r="B47" s="9">
        <v>1900</v>
      </c>
      <c r="C47" s="9" t="s">
        <v>81</v>
      </c>
      <c r="D47" s="9">
        <v>1930</v>
      </c>
      <c r="E47" s="12">
        <v>76</v>
      </c>
    </row>
    <row r="48" spans="1:5" x14ac:dyDescent="0.15">
      <c r="A48" s="12" t="s">
        <v>39</v>
      </c>
      <c r="B48" s="9">
        <v>2000</v>
      </c>
      <c r="C48" s="9" t="s">
        <v>82</v>
      </c>
      <c r="D48" s="9">
        <v>2032</v>
      </c>
      <c r="E48" s="12">
        <v>80</v>
      </c>
    </row>
    <row r="49" spans="1:5" x14ac:dyDescent="0.15">
      <c r="A49" s="9" t="s">
        <v>83</v>
      </c>
      <c r="B49" s="9">
        <v>6</v>
      </c>
      <c r="C49" s="9" t="s">
        <v>40</v>
      </c>
      <c r="D49" s="9">
        <v>10</v>
      </c>
      <c r="E49" s="12">
        <f>1/8</f>
        <v>0.125</v>
      </c>
    </row>
    <row r="50" spans="1:5" x14ac:dyDescent="0.15">
      <c r="A50" s="12" t="s">
        <v>83</v>
      </c>
      <c r="B50" s="9">
        <v>8</v>
      </c>
      <c r="C50" s="9" t="s">
        <v>41</v>
      </c>
      <c r="D50" s="9">
        <v>14</v>
      </c>
      <c r="E50" s="12">
        <f>1/4</f>
        <v>0.25</v>
      </c>
    </row>
    <row r="51" spans="1:5" x14ac:dyDescent="0.15">
      <c r="A51" s="12" t="s">
        <v>83</v>
      </c>
      <c r="B51" s="9">
        <v>10</v>
      </c>
      <c r="C51" s="9" t="s">
        <v>42</v>
      </c>
      <c r="D51" s="9">
        <v>17</v>
      </c>
      <c r="E51" s="12">
        <f>3/8</f>
        <v>0.375</v>
      </c>
    </row>
    <row r="52" spans="1:5" x14ac:dyDescent="0.15">
      <c r="A52" s="12" t="s">
        <v>83</v>
      </c>
      <c r="B52" s="9">
        <v>15</v>
      </c>
      <c r="C52" s="9" t="s">
        <v>43</v>
      </c>
      <c r="D52" s="9">
        <v>22</v>
      </c>
      <c r="E52" s="12">
        <f>1/2</f>
        <v>0.5</v>
      </c>
    </row>
    <row r="53" spans="1:5" x14ac:dyDescent="0.15">
      <c r="A53" s="12" t="s">
        <v>83</v>
      </c>
      <c r="B53" s="9">
        <v>20</v>
      </c>
      <c r="C53" s="9" t="s">
        <v>44</v>
      </c>
      <c r="D53" s="9">
        <v>27</v>
      </c>
      <c r="E53" s="12">
        <f>3/4</f>
        <v>0.75</v>
      </c>
    </row>
    <row r="54" spans="1:5" x14ac:dyDescent="0.15">
      <c r="A54" s="12" t="s">
        <v>83</v>
      </c>
      <c r="B54" s="9">
        <v>25</v>
      </c>
      <c r="C54" s="9" t="s">
        <v>45</v>
      </c>
      <c r="D54" s="9">
        <v>34</v>
      </c>
      <c r="E54" s="12">
        <v>1</v>
      </c>
    </row>
    <row r="55" spans="1:5" x14ac:dyDescent="0.15">
      <c r="A55" s="12" t="s">
        <v>83</v>
      </c>
      <c r="B55" s="9">
        <v>32</v>
      </c>
      <c r="C55" s="9" t="s">
        <v>46</v>
      </c>
      <c r="D55" s="9">
        <v>42</v>
      </c>
      <c r="E55" s="12">
        <f>1+1/4</f>
        <v>1.25</v>
      </c>
    </row>
    <row r="56" spans="1:5" x14ac:dyDescent="0.15">
      <c r="A56" s="12" t="s">
        <v>83</v>
      </c>
      <c r="B56" s="9">
        <v>40</v>
      </c>
      <c r="C56" s="9" t="s">
        <v>47</v>
      </c>
      <c r="D56" s="9">
        <v>48</v>
      </c>
      <c r="E56" s="12">
        <f>1+1/2</f>
        <v>1.5</v>
      </c>
    </row>
    <row r="57" spans="1:5" x14ac:dyDescent="0.15">
      <c r="A57" s="12" t="s">
        <v>83</v>
      </c>
      <c r="B57" s="9">
        <v>50</v>
      </c>
      <c r="C57" s="9" t="s">
        <v>48</v>
      </c>
      <c r="D57" s="9">
        <v>60</v>
      </c>
      <c r="E57" s="12">
        <f>2</f>
        <v>2</v>
      </c>
    </row>
    <row r="58" spans="1:5" x14ac:dyDescent="0.15">
      <c r="A58" s="12" t="s">
        <v>83</v>
      </c>
      <c r="B58" s="9">
        <v>65</v>
      </c>
      <c r="C58" s="9" t="s">
        <v>49</v>
      </c>
      <c r="D58" s="9">
        <v>76</v>
      </c>
      <c r="E58" s="12">
        <f>2+1/2</f>
        <v>2.5</v>
      </c>
    </row>
    <row r="59" spans="1:5" x14ac:dyDescent="0.15">
      <c r="A59" s="12" t="s">
        <v>83</v>
      </c>
      <c r="B59" s="9">
        <v>80</v>
      </c>
      <c r="C59" s="9" t="s">
        <v>50</v>
      </c>
      <c r="D59" s="9">
        <v>89</v>
      </c>
      <c r="E59" s="12">
        <v>3</v>
      </c>
    </row>
    <row r="60" spans="1:5" x14ac:dyDescent="0.15">
      <c r="A60" s="12" t="s">
        <v>83</v>
      </c>
      <c r="B60" s="9">
        <v>100</v>
      </c>
      <c r="C60" s="9" t="s">
        <v>51</v>
      </c>
      <c r="D60" s="9">
        <v>114</v>
      </c>
      <c r="E60" s="12">
        <v>4</v>
      </c>
    </row>
    <row r="61" spans="1:5" x14ac:dyDescent="0.15">
      <c r="A61" s="12" t="s">
        <v>83</v>
      </c>
      <c r="B61" s="9">
        <v>125</v>
      </c>
      <c r="C61" s="9" t="s">
        <v>52</v>
      </c>
      <c r="D61" s="9">
        <v>140</v>
      </c>
      <c r="E61" s="12">
        <v>5</v>
      </c>
    </row>
    <row r="62" spans="1:5" x14ac:dyDescent="0.15">
      <c r="A62" s="12" t="s">
        <v>83</v>
      </c>
      <c r="B62" s="9">
        <v>150</v>
      </c>
      <c r="C62" s="9" t="s">
        <v>53</v>
      </c>
      <c r="D62" s="9">
        <v>168</v>
      </c>
      <c r="E62" s="12">
        <v>6</v>
      </c>
    </row>
    <row r="63" spans="1:5" x14ac:dyDescent="0.15">
      <c r="A63" s="12" t="s">
        <v>83</v>
      </c>
      <c r="B63" s="9">
        <v>200</v>
      </c>
      <c r="C63" s="9" t="s">
        <v>54</v>
      </c>
      <c r="D63" s="9">
        <v>219</v>
      </c>
      <c r="E63" s="12">
        <v>8</v>
      </c>
    </row>
    <row r="64" spans="1:5" x14ac:dyDescent="0.15">
      <c r="A64" s="12" t="s">
        <v>83</v>
      </c>
      <c r="B64" s="9">
        <v>250</v>
      </c>
      <c r="C64" s="9" t="s">
        <v>55</v>
      </c>
      <c r="D64" s="9">
        <v>273</v>
      </c>
      <c r="E64" s="12">
        <v>10</v>
      </c>
    </row>
    <row r="65" spans="1:5" x14ac:dyDescent="0.15">
      <c r="A65" s="12" t="s">
        <v>83</v>
      </c>
      <c r="B65" s="9">
        <v>300</v>
      </c>
      <c r="C65" s="9" t="s">
        <v>56</v>
      </c>
      <c r="D65" s="9">
        <v>325</v>
      </c>
      <c r="E65" s="12">
        <v>12</v>
      </c>
    </row>
    <row r="66" spans="1:5" x14ac:dyDescent="0.15">
      <c r="A66" s="12" t="s">
        <v>83</v>
      </c>
      <c r="B66" s="9">
        <v>350</v>
      </c>
      <c r="C66" s="9" t="s">
        <v>57</v>
      </c>
      <c r="D66" s="9">
        <v>356</v>
      </c>
      <c r="E66" s="12">
        <v>14</v>
      </c>
    </row>
    <row r="67" spans="1:5" x14ac:dyDescent="0.15">
      <c r="A67" s="12" t="s">
        <v>83</v>
      </c>
      <c r="B67" s="9">
        <v>400</v>
      </c>
      <c r="C67" s="9" t="s">
        <v>58</v>
      </c>
      <c r="D67" s="9">
        <v>406</v>
      </c>
      <c r="E67" s="12">
        <v>16</v>
      </c>
    </row>
    <row r="68" spans="1:5" x14ac:dyDescent="0.15">
      <c r="A68" s="12" t="s">
        <v>83</v>
      </c>
      <c r="B68" s="9">
        <v>450</v>
      </c>
      <c r="C68" s="9" t="s">
        <v>59</v>
      </c>
      <c r="D68" s="9">
        <v>457</v>
      </c>
      <c r="E68" s="12">
        <v>18</v>
      </c>
    </row>
    <row r="69" spans="1:5" x14ac:dyDescent="0.15">
      <c r="A69" s="12" t="s">
        <v>83</v>
      </c>
      <c r="B69" s="9">
        <v>500</v>
      </c>
      <c r="C69" s="9" t="s">
        <v>60</v>
      </c>
      <c r="D69" s="9">
        <v>508</v>
      </c>
      <c r="E69" s="12">
        <v>20</v>
      </c>
    </row>
    <row r="70" spans="1:5" x14ac:dyDescent="0.15">
      <c r="A70" s="12" t="s">
        <v>83</v>
      </c>
      <c r="B70" s="9">
        <v>550</v>
      </c>
      <c r="C70" s="9" t="s">
        <v>61</v>
      </c>
      <c r="D70" s="9">
        <v>559</v>
      </c>
      <c r="E70" s="12">
        <v>22</v>
      </c>
    </row>
    <row r="71" spans="1:5" x14ac:dyDescent="0.15">
      <c r="A71" s="12" t="s">
        <v>83</v>
      </c>
      <c r="B71" s="9">
        <v>600</v>
      </c>
      <c r="C71" s="9" t="s">
        <v>62</v>
      </c>
      <c r="D71" s="9">
        <v>610</v>
      </c>
      <c r="E71" s="12">
        <v>24</v>
      </c>
    </row>
    <row r="72" spans="1:5" x14ac:dyDescent="0.15">
      <c r="A72" s="9" t="s">
        <v>84</v>
      </c>
      <c r="B72" s="9">
        <v>10</v>
      </c>
      <c r="C72" s="9"/>
      <c r="D72" s="9">
        <v>14</v>
      </c>
      <c r="E72" s="12"/>
    </row>
    <row r="73" spans="1:5" x14ac:dyDescent="0.15">
      <c r="A73" s="12" t="s">
        <v>84</v>
      </c>
      <c r="B73" s="9">
        <v>15</v>
      </c>
      <c r="C73" s="9"/>
      <c r="D73" s="9">
        <v>18</v>
      </c>
      <c r="E73" s="12"/>
    </row>
    <row r="74" spans="1:5" s="11" customFormat="1" x14ac:dyDescent="0.15">
      <c r="A74" s="7" t="s">
        <v>84</v>
      </c>
      <c r="B74" s="7">
        <v>16</v>
      </c>
      <c r="C74" s="7"/>
      <c r="D74" s="7">
        <v>19</v>
      </c>
      <c r="E74" s="12"/>
    </row>
    <row r="75" spans="1:5" x14ac:dyDescent="0.15">
      <c r="A75" s="12" t="s">
        <v>84</v>
      </c>
      <c r="B75" s="9">
        <v>20</v>
      </c>
      <c r="C75" s="9"/>
      <c r="D75" s="9">
        <v>25</v>
      </c>
      <c r="E75" s="12"/>
    </row>
    <row r="76" spans="1:5" x14ac:dyDescent="0.15">
      <c r="A76" s="12" t="s">
        <v>84</v>
      </c>
      <c r="B76" s="9">
        <v>25</v>
      </c>
      <c r="C76" s="9"/>
      <c r="D76" s="9">
        <v>32</v>
      </c>
      <c r="E76" s="12"/>
    </row>
    <row r="77" spans="1:5" x14ac:dyDescent="0.15">
      <c r="A77" s="12" t="s">
        <v>84</v>
      </c>
      <c r="B77" s="9">
        <v>32</v>
      </c>
      <c r="C77" s="9"/>
      <c r="D77" s="9">
        <v>38</v>
      </c>
      <c r="E77" s="12"/>
    </row>
    <row r="78" spans="1:5" x14ac:dyDescent="0.15">
      <c r="A78" s="12" t="s">
        <v>84</v>
      </c>
      <c r="B78" s="9">
        <v>40</v>
      </c>
      <c r="C78" s="9"/>
      <c r="D78" s="9">
        <v>45</v>
      </c>
      <c r="E78" s="12"/>
    </row>
    <row r="79" spans="1:5" x14ac:dyDescent="0.15">
      <c r="A79" s="12" t="s">
        <v>84</v>
      </c>
      <c r="B79" s="9">
        <v>50</v>
      </c>
      <c r="C79" s="9"/>
      <c r="D79" s="9">
        <v>57</v>
      </c>
      <c r="E79" s="12"/>
    </row>
    <row r="80" spans="1:5" x14ac:dyDescent="0.15">
      <c r="A80" s="12" t="s">
        <v>84</v>
      </c>
      <c r="B80" s="9">
        <v>65</v>
      </c>
      <c r="C80" s="9"/>
      <c r="D80" s="9">
        <v>76</v>
      </c>
      <c r="E80" s="12"/>
    </row>
    <row r="81" spans="1:5" x14ac:dyDescent="0.15">
      <c r="A81" s="12" t="s">
        <v>84</v>
      </c>
      <c r="B81" s="9">
        <v>80</v>
      </c>
      <c r="C81" s="9"/>
      <c r="D81" s="9">
        <v>89</v>
      </c>
      <c r="E81" s="12"/>
    </row>
    <row r="82" spans="1:5" x14ac:dyDescent="0.15">
      <c r="A82" s="12" t="s">
        <v>84</v>
      </c>
      <c r="B82" s="9">
        <v>100</v>
      </c>
      <c r="C82" s="9"/>
      <c r="D82" s="9">
        <v>108</v>
      </c>
      <c r="E82" s="12"/>
    </row>
    <row r="83" spans="1:5" x14ac:dyDescent="0.15">
      <c r="A83" s="12" t="s">
        <v>84</v>
      </c>
      <c r="B83" s="9">
        <v>125</v>
      </c>
      <c r="C83" s="9"/>
      <c r="D83" s="9">
        <v>133</v>
      </c>
      <c r="E83" s="12"/>
    </row>
    <row r="84" spans="1:5" x14ac:dyDescent="0.15">
      <c r="A84" s="12" t="s">
        <v>159</v>
      </c>
      <c r="B84" s="9">
        <v>150</v>
      </c>
      <c r="C84" s="9"/>
      <c r="D84" s="9">
        <v>159</v>
      </c>
      <c r="E84" s="12"/>
    </row>
    <row r="85" spans="1:5" x14ac:dyDescent="0.15">
      <c r="A85" s="12" t="s">
        <v>84</v>
      </c>
      <c r="B85" s="9">
        <v>200</v>
      </c>
      <c r="C85" s="9"/>
      <c r="D85" s="9">
        <v>219</v>
      </c>
      <c r="E85" s="12"/>
    </row>
    <row r="86" spans="1:5" x14ac:dyDescent="0.15">
      <c r="A86" s="12" t="s">
        <v>84</v>
      </c>
      <c r="B86" s="9">
        <v>250</v>
      </c>
      <c r="C86" s="9"/>
      <c r="D86" s="9">
        <v>273</v>
      </c>
      <c r="E86" s="12"/>
    </row>
    <row r="87" spans="1:5" x14ac:dyDescent="0.15">
      <c r="A87" s="12" t="s">
        <v>84</v>
      </c>
      <c r="B87" s="9">
        <v>300</v>
      </c>
      <c r="C87" s="9"/>
      <c r="D87" s="9">
        <v>325</v>
      </c>
      <c r="E87" s="12"/>
    </row>
    <row r="88" spans="1:5" x14ac:dyDescent="0.15">
      <c r="A88" s="12" t="s">
        <v>84</v>
      </c>
      <c r="B88" s="9">
        <v>350</v>
      </c>
      <c r="C88" s="9"/>
      <c r="D88" s="9">
        <v>377</v>
      </c>
      <c r="E88" s="12"/>
    </row>
    <row r="89" spans="1:5" x14ac:dyDescent="0.15">
      <c r="A89" s="12" t="s">
        <v>84</v>
      </c>
      <c r="B89" s="9">
        <v>400</v>
      </c>
      <c r="C89" s="9"/>
      <c r="D89" s="9">
        <v>426</v>
      </c>
      <c r="E89" s="12"/>
    </row>
    <row r="90" spans="1:5" x14ac:dyDescent="0.15">
      <c r="A90" s="12" t="s">
        <v>84</v>
      </c>
      <c r="B90" s="9">
        <v>450</v>
      </c>
      <c r="C90" s="9"/>
      <c r="D90" s="9">
        <v>480</v>
      </c>
      <c r="E90" s="12"/>
    </row>
    <row r="91" spans="1:5" x14ac:dyDescent="0.15">
      <c r="A91" s="12" t="s">
        <v>84</v>
      </c>
      <c r="B91" s="9">
        <v>500</v>
      </c>
      <c r="C91" s="9"/>
      <c r="D91" s="9">
        <v>530</v>
      </c>
      <c r="E91" s="12"/>
    </row>
    <row r="92" spans="1:5" x14ac:dyDescent="0.15">
      <c r="A92" s="12" t="s">
        <v>84</v>
      </c>
      <c r="B92" s="9">
        <v>600</v>
      </c>
      <c r="C92" s="9"/>
      <c r="D92" s="12">
        <v>630</v>
      </c>
      <c r="E92" s="12"/>
    </row>
    <row r="93" spans="1:5" x14ac:dyDescent="0.15">
      <c r="A93" s="12" t="s">
        <v>84</v>
      </c>
      <c r="B93" s="12">
        <v>700</v>
      </c>
      <c r="C93" s="6"/>
      <c r="D93" s="12">
        <v>720</v>
      </c>
      <c r="E93" s="12"/>
    </row>
    <row r="94" spans="1:5" x14ac:dyDescent="0.15">
      <c r="A94" s="12" t="s">
        <v>84</v>
      </c>
      <c r="B94" s="12">
        <v>800</v>
      </c>
      <c r="C94" s="6"/>
      <c r="D94" s="12">
        <v>820</v>
      </c>
      <c r="E94" s="12"/>
    </row>
    <row r="95" spans="1:5" x14ac:dyDescent="0.15">
      <c r="A95" s="12" t="s">
        <v>84</v>
      </c>
      <c r="B95" s="12">
        <v>900</v>
      </c>
      <c r="C95" s="6"/>
      <c r="D95" s="12">
        <v>920</v>
      </c>
      <c r="E95" s="12"/>
    </row>
    <row r="96" spans="1:5" x14ac:dyDescent="0.15">
      <c r="A96" s="12" t="s">
        <v>84</v>
      </c>
      <c r="B96" s="12">
        <v>1000</v>
      </c>
      <c r="C96" s="6"/>
      <c r="D96" s="12">
        <v>1020</v>
      </c>
      <c r="E96" s="12"/>
    </row>
    <row r="97" spans="1:5" x14ac:dyDescent="0.15">
      <c r="A97" s="12" t="s">
        <v>84</v>
      </c>
      <c r="B97" s="12">
        <v>1200</v>
      </c>
      <c r="C97" s="6"/>
      <c r="D97" s="12">
        <v>1220</v>
      </c>
      <c r="E97" s="12"/>
    </row>
    <row r="98" spans="1:5" x14ac:dyDescent="0.15">
      <c r="A98" s="12" t="s">
        <v>84</v>
      </c>
      <c r="B98" s="12">
        <v>1400</v>
      </c>
      <c r="C98" s="6"/>
      <c r="D98" s="12">
        <v>1420</v>
      </c>
      <c r="E98" s="12"/>
    </row>
    <row r="99" spans="1:5" x14ac:dyDescent="0.15">
      <c r="A99" s="12" t="s">
        <v>84</v>
      </c>
      <c r="B99" s="12">
        <v>1600</v>
      </c>
      <c r="C99" s="6"/>
      <c r="D99" s="12">
        <v>1620</v>
      </c>
      <c r="E99" s="12"/>
    </row>
    <row r="100" spans="1:5" x14ac:dyDescent="0.15">
      <c r="A100" s="12" t="s">
        <v>84</v>
      </c>
      <c r="B100" s="12">
        <v>1800</v>
      </c>
      <c r="C100" s="6"/>
      <c r="D100" s="12">
        <v>1820</v>
      </c>
      <c r="E100" s="12"/>
    </row>
    <row r="101" spans="1:5" x14ac:dyDescent="0.15">
      <c r="A101" s="12" t="s">
        <v>84</v>
      </c>
      <c r="B101" s="12">
        <v>2000</v>
      </c>
      <c r="C101" s="6"/>
      <c r="D101" s="12">
        <v>2020</v>
      </c>
      <c r="E101" s="12"/>
    </row>
    <row r="102" spans="1:5" x14ac:dyDescent="0.15">
      <c r="B102" s="11"/>
    </row>
    <row r="103" spans="1:5" x14ac:dyDescent="0.15">
      <c r="B103" s="11"/>
    </row>
    <row r="104" spans="1:5" x14ac:dyDescent="0.15">
      <c r="B104" s="11"/>
    </row>
    <row r="105" spans="1:5" x14ac:dyDescent="0.15">
      <c r="B105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4"/>
  <sheetViews>
    <sheetView zoomScale="115" zoomScaleNormal="115" workbookViewId="0">
      <selection activeCell="B19" sqref="B19"/>
    </sheetView>
  </sheetViews>
  <sheetFormatPr defaultRowHeight="13.5" x14ac:dyDescent="0.15"/>
  <cols>
    <col min="1" max="1" width="17" style="1" customWidth="1"/>
    <col min="2" max="2" width="9" style="1" customWidth="1"/>
    <col min="3" max="3" width="7.375" style="1" customWidth="1"/>
    <col min="4" max="4" width="12.125" style="1" customWidth="1"/>
    <col min="5" max="5" width="9" style="1"/>
  </cols>
  <sheetData>
    <row r="1" spans="1:8" s="11" customFormat="1" x14ac:dyDescent="0.15">
      <c r="A1" s="1">
        <v>1362</v>
      </c>
      <c r="B1" s="1">
        <v>5</v>
      </c>
      <c r="C1" s="1"/>
      <c r="D1" s="1"/>
      <c r="E1" s="1"/>
    </row>
    <row r="2" spans="1:8" s="1" customFormat="1" x14ac:dyDescent="0.15">
      <c r="A2" s="2" t="s">
        <v>7</v>
      </c>
      <c r="B2" s="2" t="s">
        <v>8</v>
      </c>
      <c r="C2" s="2" t="s">
        <v>9</v>
      </c>
      <c r="D2" s="2" t="s">
        <v>158</v>
      </c>
      <c r="E2" s="12" t="s">
        <v>16</v>
      </c>
      <c r="F2" s="17"/>
    </row>
    <row r="3" spans="1:8" x14ac:dyDescent="0.15">
      <c r="A3" s="2" t="s">
        <v>36</v>
      </c>
      <c r="B3" s="2" t="s">
        <v>0</v>
      </c>
      <c r="C3" s="2">
        <v>6</v>
      </c>
      <c r="D3" s="2" t="s">
        <v>6</v>
      </c>
      <c r="E3" s="3">
        <v>1.2</v>
      </c>
    </row>
    <row r="4" spans="1:8" x14ac:dyDescent="0.15">
      <c r="A4" s="2" t="s">
        <v>5</v>
      </c>
      <c r="B4" s="2" t="s">
        <v>0</v>
      </c>
      <c r="C4" s="2">
        <v>6</v>
      </c>
      <c r="D4" s="2" t="s">
        <v>11</v>
      </c>
      <c r="E4" s="3">
        <v>1.2</v>
      </c>
    </row>
    <row r="5" spans="1:8" x14ac:dyDescent="0.15">
      <c r="A5" s="2" t="s">
        <v>5</v>
      </c>
      <c r="B5" s="2" t="s">
        <v>0</v>
      </c>
      <c r="C5" s="2">
        <v>6</v>
      </c>
      <c r="D5" s="2" t="s">
        <v>12</v>
      </c>
      <c r="E5" s="3">
        <v>1.6</v>
      </c>
    </row>
    <row r="6" spans="1:8" x14ac:dyDescent="0.15">
      <c r="A6" s="2" t="s">
        <v>5</v>
      </c>
      <c r="B6" s="2" t="s">
        <v>0</v>
      </c>
      <c r="C6" s="2">
        <v>6</v>
      </c>
      <c r="D6" s="2" t="s">
        <v>13</v>
      </c>
      <c r="E6" s="3">
        <v>1.8</v>
      </c>
    </row>
    <row r="7" spans="1:8" x14ac:dyDescent="0.15">
      <c r="A7" s="2" t="s">
        <v>5</v>
      </c>
      <c r="B7" s="2" t="s">
        <v>0</v>
      </c>
      <c r="C7" s="2">
        <v>6</v>
      </c>
      <c r="D7" s="2" t="s">
        <v>14</v>
      </c>
      <c r="E7" s="3">
        <v>1.8</v>
      </c>
    </row>
    <row r="8" spans="1:8" x14ac:dyDescent="0.15">
      <c r="A8" s="2" t="s">
        <v>5</v>
      </c>
      <c r="B8" s="2" t="s">
        <v>0</v>
      </c>
      <c r="C8" s="2">
        <v>6</v>
      </c>
      <c r="D8" s="2" t="s">
        <v>15</v>
      </c>
      <c r="E8" s="3">
        <v>2.2999999999999998</v>
      </c>
    </row>
    <row r="9" spans="1:8" x14ac:dyDescent="0.15">
      <c r="A9" s="2" t="s">
        <v>5</v>
      </c>
      <c r="B9" s="2" t="s">
        <v>0</v>
      </c>
      <c r="C9" s="2">
        <v>6</v>
      </c>
      <c r="D9" s="2" t="s">
        <v>17</v>
      </c>
      <c r="E9" s="3">
        <v>2.2999999999999998</v>
      </c>
      <c r="H9" s="22" t="s">
        <v>223</v>
      </c>
    </row>
    <row r="10" spans="1:8" x14ac:dyDescent="0.15">
      <c r="A10" s="2" t="s">
        <v>5</v>
      </c>
      <c r="B10" s="2" t="s">
        <v>0</v>
      </c>
      <c r="C10" s="2">
        <v>8</v>
      </c>
      <c r="D10" s="2" t="s">
        <v>6</v>
      </c>
      <c r="E10" s="3">
        <v>1.6</v>
      </c>
      <c r="H10" s="22" t="s">
        <v>224</v>
      </c>
    </row>
    <row r="11" spans="1:8" x14ac:dyDescent="0.15">
      <c r="A11" s="2" t="s">
        <v>5</v>
      </c>
      <c r="B11" s="2" t="s">
        <v>0</v>
      </c>
      <c r="C11" s="2">
        <v>8</v>
      </c>
      <c r="D11" s="2" t="s">
        <v>11</v>
      </c>
      <c r="E11" s="3">
        <v>1.6</v>
      </c>
      <c r="H11" s="22" t="s">
        <v>226</v>
      </c>
    </row>
    <row r="12" spans="1:8" x14ac:dyDescent="0.15">
      <c r="A12" s="2" t="s">
        <v>5</v>
      </c>
      <c r="B12" s="2" t="s">
        <v>0</v>
      </c>
      <c r="C12" s="2">
        <v>8</v>
      </c>
      <c r="D12" s="2" t="s">
        <v>12</v>
      </c>
      <c r="E12" s="3">
        <v>1.8</v>
      </c>
      <c r="H12" s="22" t="s">
        <v>225</v>
      </c>
    </row>
    <row r="13" spans="1:8" x14ac:dyDescent="0.15">
      <c r="A13" s="2" t="s">
        <v>5</v>
      </c>
      <c r="B13" s="2" t="s">
        <v>0</v>
      </c>
      <c r="C13" s="2">
        <v>8</v>
      </c>
      <c r="D13" s="2" t="s">
        <v>13</v>
      </c>
      <c r="E13" s="3">
        <v>2.2999999999999998</v>
      </c>
      <c r="H13" s="22" t="s">
        <v>228</v>
      </c>
    </row>
    <row r="14" spans="1:8" x14ac:dyDescent="0.15">
      <c r="A14" s="2" t="s">
        <v>5</v>
      </c>
      <c r="B14" s="2" t="s">
        <v>0</v>
      </c>
      <c r="C14" s="2">
        <v>8</v>
      </c>
      <c r="D14" s="2" t="s">
        <v>14</v>
      </c>
      <c r="E14" s="3">
        <v>2.2999999999999998</v>
      </c>
      <c r="H14" s="22" t="s">
        <v>229</v>
      </c>
    </row>
    <row r="15" spans="1:8" x14ac:dyDescent="0.15">
      <c r="A15" s="2" t="s">
        <v>5</v>
      </c>
      <c r="B15" s="2" t="s">
        <v>0</v>
      </c>
      <c r="C15" s="2">
        <v>8</v>
      </c>
      <c r="D15" s="2" t="s">
        <v>15</v>
      </c>
      <c r="E15" s="3">
        <v>2.9</v>
      </c>
    </row>
    <row r="16" spans="1:8" x14ac:dyDescent="0.15">
      <c r="A16" s="2" t="s">
        <v>5</v>
      </c>
      <c r="B16" s="2" t="s">
        <v>0</v>
      </c>
      <c r="C16" s="2">
        <v>8</v>
      </c>
      <c r="D16" s="2" t="s">
        <v>17</v>
      </c>
      <c r="E16" s="3">
        <v>2.9</v>
      </c>
    </row>
    <row r="17" spans="1:5" x14ac:dyDescent="0.15">
      <c r="A17" s="2" t="s">
        <v>4</v>
      </c>
      <c r="B17" s="2" t="s">
        <v>0</v>
      </c>
      <c r="C17" s="2">
        <v>10</v>
      </c>
      <c r="D17" s="2" t="s">
        <v>6</v>
      </c>
      <c r="E17" s="3">
        <v>1.6</v>
      </c>
    </row>
    <row r="18" spans="1:5" x14ac:dyDescent="0.15">
      <c r="A18" s="2" t="s">
        <v>4</v>
      </c>
      <c r="B18" s="2" t="s">
        <v>0</v>
      </c>
      <c r="C18" s="2">
        <v>10</v>
      </c>
      <c r="D18" s="2" t="s">
        <v>11</v>
      </c>
      <c r="E18" s="3">
        <v>1.6</v>
      </c>
    </row>
    <row r="19" spans="1:5" x14ac:dyDescent="0.15">
      <c r="A19" s="2" t="s">
        <v>230</v>
      </c>
      <c r="B19" s="2" t="s">
        <v>0</v>
      </c>
      <c r="C19" s="2">
        <v>10</v>
      </c>
      <c r="D19" s="2" t="s">
        <v>12</v>
      </c>
      <c r="E19" s="3">
        <v>1.8</v>
      </c>
    </row>
    <row r="20" spans="1:5" x14ac:dyDescent="0.15">
      <c r="A20" s="2" t="s">
        <v>4</v>
      </c>
      <c r="B20" s="2" t="s">
        <v>0</v>
      </c>
      <c r="C20" s="2">
        <v>10</v>
      </c>
      <c r="D20" s="2" t="s">
        <v>13</v>
      </c>
      <c r="E20" s="3">
        <v>2.2999999999999998</v>
      </c>
    </row>
    <row r="21" spans="1:5" x14ac:dyDescent="0.15">
      <c r="A21" s="2" t="s">
        <v>4</v>
      </c>
      <c r="B21" s="2" t="s">
        <v>0</v>
      </c>
      <c r="C21" s="2">
        <v>10</v>
      </c>
      <c r="D21" s="2" t="s">
        <v>14</v>
      </c>
      <c r="E21" s="3">
        <v>2.2999999999999998</v>
      </c>
    </row>
    <row r="22" spans="1:5" x14ac:dyDescent="0.15">
      <c r="A22" s="2" t="s">
        <v>4</v>
      </c>
      <c r="B22" s="2" t="s">
        <v>0</v>
      </c>
      <c r="C22" s="2">
        <v>10</v>
      </c>
      <c r="D22" s="2" t="s">
        <v>15</v>
      </c>
      <c r="E22" s="3">
        <v>3.2</v>
      </c>
    </row>
    <row r="23" spans="1:5" x14ac:dyDescent="0.15">
      <c r="A23" s="2" t="s">
        <v>4</v>
      </c>
      <c r="B23" s="2" t="s">
        <v>0</v>
      </c>
      <c r="C23" s="2">
        <v>10</v>
      </c>
      <c r="D23" s="2" t="s">
        <v>17</v>
      </c>
      <c r="E23" s="3">
        <v>3.2</v>
      </c>
    </row>
    <row r="24" spans="1:5" x14ac:dyDescent="0.15">
      <c r="A24" s="2" t="s">
        <v>4</v>
      </c>
      <c r="B24" s="2" t="s">
        <v>0</v>
      </c>
      <c r="C24" s="2">
        <v>15</v>
      </c>
      <c r="D24" s="2" t="s">
        <v>21</v>
      </c>
      <c r="E24" s="3">
        <v>1.6</v>
      </c>
    </row>
    <row r="25" spans="1:5" x14ac:dyDescent="0.15">
      <c r="A25" s="2" t="s">
        <v>4</v>
      </c>
      <c r="B25" s="2" t="s">
        <v>0</v>
      </c>
      <c r="C25" s="2">
        <v>15</v>
      </c>
      <c r="D25" s="2" t="s">
        <v>22</v>
      </c>
      <c r="E25" s="3">
        <v>1.6</v>
      </c>
    </row>
    <row r="26" spans="1:5" x14ac:dyDescent="0.15">
      <c r="A26" s="2" t="s">
        <v>4</v>
      </c>
      <c r="B26" s="2" t="s">
        <v>0</v>
      </c>
      <c r="C26" s="2">
        <v>15</v>
      </c>
      <c r="D26" s="2" t="s">
        <v>6</v>
      </c>
      <c r="E26" s="3">
        <v>2</v>
      </c>
    </row>
    <row r="27" spans="1:5" x14ac:dyDescent="0.15">
      <c r="A27" s="2" t="s">
        <v>4</v>
      </c>
      <c r="B27" s="2" t="s">
        <v>0</v>
      </c>
      <c r="C27" s="2">
        <v>15</v>
      </c>
      <c r="D27" s="2" t="s">
        <v>11</v>
      </c>
      <c r="E27" s="3">
        <v>2</v>
      </c>
    </row>
    <row r="28" spans="1:5" x14ac:dyDescent="0.15">
      <c r="A28" s="2" t="s">
        <v>4</v>
      </c>
      <c r="B28" s="2" t="s">
        <v>0</v>
      </c>
      <c r="C28" s="2">
        <v>15</v>
      </c>
      <c r="D28" s="2" t="s">
        <v>12</v>
      </c>
      <c r="E28" s="3">
        <v>2.2999999999999998</v>
      </c>
    </row>
    <row r="29" spans="1:5" x14ac:dyDescent="0.15">
      <c r="A29" s="2" t="s">
        <v>4</v>
      </c>
      <c r="B29" s="2" t="s">
        <v>0</v>
      </c>
      <c r="C29" s="2">
        <v>15</v>
      </c>
      <c r="D29" s="2" t="s">
        <v>13</v>
      </c>
      <c r="E29" s="3">
        <v>2.9</v>
      </c>
    </row>
    <row r="30" spans="1:5" x14ac:dyDescent="0.15">
      <c r="A30" s="2" t="s">
        <v>4</v>
      </c>
      <c r="B30" s="2" t="s">
        <v>0</v>
      </c>
      <c r="C30" s="2">
        <v>15</v>
      </c>
      <c r="D30" s="2" t="s">
        <v>14</v>
      </c>
      <c r="E30" s="3">
        <v>2.9</v>
      </c>
    </row>
    <row r="31" spans="1:5" x14ac:dyDescent="0.15">
      <c r="A31" s="2" t="s">
        <v>4</v>
      </c>
      <c r="B31" s="2" t="s">
        <v>0</v>
      </c>
      <c r="C31" s="2">
        <v>15</v>
      </c>
      <c r="D31" s="2" t="s">
        <v>15</v>
      </c>
      <c r="E31" s="3">
        <v>3.6</v>
      </c>
    </row>
    <row r="32" spans="1:5" x14ac:dyDescent="0.15">
      <c r="A32" s="2" t="s">
        <v>4</v>
      </c>
      <c r="B32" s="2" t="s">
        <v>0</v>
      </c>
      <c r="C32" s="2">
        <v>15</v>
      </c>
      <c r="D32" s="2" t="s">
        <v>17</v>
      </c>
      <c r="E32" s="3">
        <v>3.6</v>
      </c>
    </row>
    <row r="33" spans="1:5" x14ac:dyDescent="0.15">
      <c r="A33" s="2" t="s">
        <v>4</v>
      </c>
      <c r="B33" s="2" t="s">
        <v>0</v>
      </c>
      <c r="C33" s="2">
        <v>15</v>
      </c>
      <c r="D33" s="2" t="s">
        <v>20</v>
      </c>
      <c r="E33" s="3">
        <v>5</v>
      </c>
    </row>
    <row r="34" spans="1:5" x14ac:dyDescent="0.15">
      <c r="A34" s="2" t="s">
        <v>4</v>
      </c>
      <c r="B34" s="2" t="s">
        <v>0</v>
      </c>
      <c r="C34" s="2">
        <v>20</v>
      </c>
      <c r="D34" s="2" t="s">
        <v>23</v>
      </c>
      <c r="E34" s="3">
        <v>1.6</v>
      </c>
    </row>
    <row r="35" spans="1:5" x14ac:dyDescent="0.15">
      <c r="A35" s="2" t="s">
        <v>4</v>
      </c>
      <c r="B35" s="2" t="s">
        <v>0</v>
      </c>
      <c r="C35" s="2">
        <v>20</v>
      </c>
      <c r="D35" s="2" t="s">
        <v>24</v>
      </c>
      <c r="E35" s="3">
        <v>1.6</v>
      </c>
    </row>
    <row r="36" spans="1:5" x14ac:dyDescent="0.15">
      <c r="A36" s="2" t="s">
        <v>4</v>
      </c>
      <c r="B36" s="2" t="s">
        <v>0</v>
      </c>
      <c r="C36" s="2">
        <v>20</v>
      </c>
      <c r="D36" s="2" t="s">
        <v>25</v>
      </c>
      <c r="E36" s="3">
        <v>2</v>
      </c>
    </row>
    <row r="37" spans="1:5" x14ac:dyDescent="0.15">
      <c r="A37" s="2" t="s">
        <v>4</v>
      </c>
      <c r="B37" s="2" t="s">
        <v>0</v>
      </c>
      <c r="C37" s="2">
        <v>20</v>
      </c>
      <c r="D37" s="2" t="s">
        <v>26</v>
      </c>
      <c r="E37" s="3">
        <v>2</v>
      </c>
    </row>
    <row r="38" spans="1:5" x14ac:dyDescent="0.15">
      <c r="A38" s="2" t="s">
        <v>4</v>
      </c>
      <c r="B38" s="2" t="s">
        <v>0</v>
      </c>
      <c r="C38" s="2">
        <v>20</v>
      </c>
      <c r="D38" s="2" t="s">
        <v>12</v>
      </c>
      <c r="E38" s="3">
        <v>2.2999999999999998</v>
      </c>
    </row>
    <row r="39" spans="1:5" x14ac:dyDescent="0.15">
      <c r="A39" s="2" t="s">
        <v>4</v>
      </c>
      <c r="B39" s="2" t="s">
        <v>0</v>
      </c>
      <c r="C39" s="2">
        <v>20</v>
      </c>
      <c r="D39" s="2" t="s">
        <v>27</v>
      </c>
      <c r="E39" s="3">
        <v>2.9</v>
      </c>
    </row>
    <row r="40" spans="1:5" x14ac:dyDescent="0.15">
      <c r="A40" s="2" t="s">
        <v>4</v>
      </c>
      <c r="B40" s="2" t="s">
        <v>0</v>
      </c>
      <c r="C40" s="2">
        <v>20</v>
      </c>
      <c r="D40" s="2" t="s">
        <v>28</v>
      </c>
      <c r="E40" s="3">
        <v>2.9</v>
      </c>
    </row>
    <row r="41" spans="1:5" x14ac:dyDescent="0.15">
      <c r="A41" s="2" t="s">
        <v>4</v>
      </c>
      <c r="B41" s="2" t="s">
        <v>0</v>
      </c>
      <c r="C41" s="2">
        <v>20</v>
      </c>
      <c r="D41" s="2" t="s">
        <v>29</v>
      </c>
      <c r="E41" s="3">
        <v>4</v>
      </c>
    </row>
    <row r="42" spans="1:5" x14ac:dyDescent="0.15">
      <c r="A42" s="2" t="s">
        <v>4</v>
      </c>
      <c r="B42" s="2" t="s">
        <v>0</v>
      </c>
      <c r="C42" s="2">
        <v>20</v>
      </c>
      <c r="D42" s="2" t="s">
        <v>30</v>
      </c>
      <c r="E42" s="3">
        <v>4</v>
      </c>
    </row>
    <row r="43" spans="1:5" x14ac:dyDescent="0.15">
      <c r="A43" s="2" t="s">
        <v>31</v>
      </c>
      <c r="B43" s="2" t="s">
        <v>0</v>
      </c>
      <c r="C43" s="2">
        <v>20</v>
      </c>
      <c r="D43" s="2" t="s">
        <v>19</v>
      </c>
      <c r="E43" s="3">
        <v>5.6</v>
      </c>
    </row>
    <row r="44" spans="1:5" x14ac:dyDescent="0.15">
      <c r="A44" s="2" t="s">
        <v>4</v>
      </c>
      <c r="B44" s="2" t="s">
        <v>0</v>
      </c>
      <c r="C44" s="2">
        <v>25</v>
      </c>
      <c r="D44" s="2" t="s">
        <v>23</v>
      </c>
      <c r="E44" s="3">
        <v>1.6</v>
      </c>
    </row>
    <row r="45" spans="1:5" x14ac:dyDescent="0.15">
      <c r="A45" s="2" t="s">
        <v>4</v>
      </c>
      <c r="B45" s="2" t="s">
        <v>0</v>
      </c>
      <c r="C45" s="2">
        <v>25</v>
      </c>
      <c r="D45" s="2" t="s">
        <v>24</v>
      </c>
      <c r="E45" s="3">
        <v>1.6</v>
      </c>
    </row>
    <row r="46" spans="1:5" x14ac:dyDescent="0.15">
      <c r="A46" s="2" t="s">
        <v>4</v>
      </c>
      <c r="B46" s="2" t="s">
        <v>0</v>
      </c>
      <c r="C46" s="2">
        <v>25</v>
      </c>
      <c r="D46" s="2" t="s">
        <v>25</v>
      </c>
      <c r="E46" s="3">
        <v>2.6</v>
      </c>
    </row>
    <row r="47" spans="1:5" x14ac:dyDescent="0.15">
      <c r="A47" s="2" t="s">
        <v>4</v>
      </c>
      <c r="B47" s="2" t="s">
        <v>0</v>
      </c>
      <c r="C47" s="2">
        <v>25</v>
      </c>
      <c r="D47" s="2" t="s">
        <v>26</v>
      </c>
      <c r="E47" s="3">
        <v>2.6</v>
      </c>
    </row>
    <row r="48" spans="1:5" x14ac:dyDescent="0.15">
      <c r="A48" s="2" t="s">
        <v>4</v>
      </c>
      <c r="B48" s="2" t="s">
        <v>0</v>
      </c>
      <c r="C48" s="2">
        <v>25</v>
      </c>
      <c r="D48" s="2" t="s">
        <v>12</v>
      </c>
      <c r="E48" s="3">
        <v>2.9</v>
      </c>
    </row>
    <row r="49" spans="1:5" x14ac:dyDescent="0.15">
      <c r="A49" s="2" t="s">
        <v>4</v>
      </c>
      <c r="B49" s="2" t="s">
        <v>0</v>
      </c>
      <c r="C49" s="2">
        <v>25</v>
      </c>
      <c r="D49" s="2" t="s">
        <v>27</v>
      </c>
      <c r="E49" s="3">
        <v>3.2</v>
      </c>
    </row>
    <row r="50" spans="1:5" x14ac:dyDescent="0.15">
      <c r="A50" s="2" t="s">
        <v>4</v>
      </c>
      <c r="B50" s="2" t="s">
        <v>0</v>
      </c>
      <c r="C50" s="2">
        <v>25</v>
      </c>
      <c r="D50" s="2" t="s">
        <v>28</v>
      </c>
      <c r="E50" s="3">
        <v>3.2</v>
      </c>
    </row>
    <row r="51" spans="1:5" x14ac:dyDescent="0.15">
      <c r="A51" s="2" t="s">
        <v>4</v>
      </c>
      <c r="B51" s="2" t="s">
        <v>0</v>
      </c>
      <c r="C51" s="2">
        <v>25</v>
      </c>
      <c r="D51" s="2" t="s">
        <v>29</v>
      </c>
      <c r="E51" s="3">
        <v>4.5</v>
      </c>
    </row>
    <row r="52" spans="1:5" x14ac:dyDescent="0.15">
      <c r="A52" s="2" t="s">
        <v>4</v>
      </c>
      <c r="B52" s="2" t="s">
        <v>0</v>
      </c>
      <c r="C52" s="2">
        <v>25</v>
      </c>
      <c r="D52" s="2" t="s">
        <v>30</v>
      </c>
      <c r="E52" s="3">
        <v>4.5</v>
      </c>
    </row>
    <row r="53" spans="1:5" x14ac:dyDescent="0.15">
      <c r="A53" s="2" t="s">
        <v>4</v>
      </c>
      <c r="B53" s="2" t="s">
        <v>0</v>
      </c>
      <c r="C53" s="2">
        <v>25</v>
      </c>
      <c r="D53" s="2" t="s">
        <v>19</v>
      </c>
      <c r="E53" s="3">
        <v>6.3</v>
      </c>
    </row>
    <row r="54" spans="1:5" x14ac:dyDescent="0.15">
      <c r="A54" s="2" t="s">
        <v>4</v>
      </c>
      <c r="B54" s="2" t="s">
        <v>0</v>
      </c>
      <c r="C54" s="2">
        <v>32</v>
      </c>
      <c r="D54" s="2" t="s">
        <v>23</v>
      </c>
      <c r="E54" s="3">
        <v>1.6</v>
      </c>
    </row>
    <row r="55" spans="1:5" x14ac:dyDescent="0.15">
      <c r="A55" s="2" t="s">
        <v>4</v>
      </c>
      <c r="B55" s="2" t="s">
        <v>0</v>
      </c>
      <c r="C55" s="2">
        <v>32</v>
      </c>
      <c r="D55" s="2" t="s">
        <v>24</v>
      </c>
      <c r="E55" s="3">
        <v>1.6</v>
      </c>
    </row>
    <row r="56" spans="1:5" x14ac:dyDescent="0.15">
      <c r="A56" s="2" t="s">
        <v>4</v>
      </c>
      <c r="B56" s="2" t="s">
        <v>0</v>
      </c>
      <c r="C56" s="2">
        <v>32</v>
      </c>
      <c r="D56" s="2" t="s">
        <v>25</v>
      </c>
      <c r="E56" s="3">
        <v>2.9</v>
      </c>
    </row>
    <row r="57" spans="1:5" x14ac:dyDescent="0.15">
      <c r="A57" s="2" t="s">
        <v>4</v>
      </c>
      <c r="B57" s="2" t="s">
        <v>0</v>
      </c>
      <c r="C57" s="2">
        <v>32</v>
      </c>
      <c r="D57" s="2" t="s">
        <v>26</v>
      </c>
      <c r="E57" s="3">
        <v>2.9</v>
      </c>
    </row>
    <row r="58" spans="1:5" x14ac:dyDescent="0.15">
      <c r="A58" s="2" t="s">
        <v>4</v>
      </c>
      <c r="B58" s="2" t="s">
        <v>0</v>
      </c>
      <c r="C58" s="2">
        <v>32</v>
      </c>
      <c r="D58" s="2" t="s">
        <v>12</v>
      </c>
      <c r="E58" s="3">
        <v>3.2</v>
      </c>
    </row>
    <row r="59" spans="1:5" x14ac:dyDescent="0.15">
      <c r="A59" s="2" t="s">
        <v>4</v>
      </c>
      <c r="B59" s="2" t="s">
        <v>0</v>
      </c>
      <c r="C59" s="2">
        <v>32</v>
      </c>
      <c r="D59" s="2" t="s">
        <v>27</v>
      </c>
      <c r="E59" s="3">
        <v>3.6</v>
      </c>
    </row>
    <row r="60" spans="1:5" x14ac:dyDescent="0.15">
      <c r="A60" s="2" t="s">
        <v>4</v>
      </c>
      <c r="B60" s="2" t="s">
        <v>0</v>
      </c>
      <c r="C60" s="2">
        <v>32</v>
      </c>
      <c r="D60" s="2" t="s">
        <v>28</v>
      </c>
      <c r="E60" s="3">
        <v>3.6</v>
      </c>
    </row>
    <row r="61" spans="1:5" x14ac:dyDescent="0.15">
      <c r="A61" s="2" t="s">
        <v>4</v>
      </c>
      <c r="B61" s="2" t="s">
        <v>0</v>
      </c>
      <c r="C61" s="2">
        <v>32</v>
      </c>
      <c r="D61" s="2" t="s">
        <v>29</v>
      </c>
      <c r="E61" s="3">
        <v>5</v>
      </c>
    </row>
    <row r="62" spans="1:5" x14ac:dyDescent="0.15">
      <c r="A62" s="2" t="s">
        <v>4</v>
      </c>
      <c r="B62" s="2" t="s">
        <v>0</v>
      </c>
      <c r="C62" s="2">
        <v>32</v>
      </c>
      <c r="D62" s="2" t="s">
        <v>30</v>
      </c>
      <c r="E62" s="3">
        <v>5</v>
      </c>
    </row>
    <row r="63" spans="1:5" x14ac:dyDescent="0.15">
      <c r="A63" s="2" t="s">
        <v>4</v>
      </c>
      <c r="B63" s="2" t="s">
        <v>0</v>
      </c>
      <c r="C63" s="2">
        <v>32</v>
      </c>
      <c r="D63" s="2" t="s">
        <v>19</v>
      </c>
      <c r="E63" s="3">
        <v>6.3</v>
      </c>
    </row>
    <row r="64" spans="1:5" x14ac:dyDescent="0.15">
      <c r="A64" s="2" t="s">
        <v>4</v>
      </c>
      <c r="B64" s="2" t="s">
        <v>0</v>
      </c>
      <c r="C64" s="2">
        <v>40</v>
      </c>
      <c r="D64" s="2" t="s">
        <v>23</v>
      </c>
      <c r="E64" s="3">
        <v>1.6</v>
      </c>
    </row>
    <row r="65" spans="1:5" x14ac:dyDescent="0.15">
      <c r="A65" s="2" t="s">
        <v>4</v>
      </c>
      <c r="B65" s="2" t="s">
        <v>0</v>
      </c>
      <c r="C65" s="2">
        <v>40</v>
      </c>
      <c r="D65" s="2" t="s">
        <v>24</v>
      </c>
      <c r="E65" s="3">
        <v>1.6</v>
      </c>
    </row>
    <row r="66" spans="1:5" x14ac:dyDescent="0.15">
      <c r="A66" s="2" t="s">
        <v>4</v>
      </c>
      <c r="B66" s="2" t="s">
        <v>0</v>
      </c>
      <c r="C66" s="2">
        <v>40</v>
      </c>
      <c r="D66" s="2" t="s">
        <v>25</v>
      </c>
      <c r="E66" s="3">
        <v>2.9</v>
      </c>
    </row>
    <row r="67" spans="1:5" x14ac:dyDescent="0.15">
      <c r="A67" s="2" t="s">
        <v>4</v>
      </c>
      <c r="B67" s="2" t="s">
        <v>0</v>
      </c>
      <c r="C67" s="2">
        <v>40</v>
      </c>
      <c r="D67" s="2" t="s">
        <v>26</v>
      </c>
      <c r="E67" s="3">
        <v>2.9</v>
      </c>
    </row>
    <row r="68" spans="1:5" x14ac:dyDescent="0.15">
      <c r="A68" s="2" t="s">
        <v>4</v>
      </c>
      <c r="B68" s="2" t="s">
        <v>0</v>
      </c>
      <c r="C68" s="2">
        <v>40</v>
      </c>
      <c r="D68" s="2" t="s">
        <v>12</v>
      </c>
      <c r="E68" s="3">
        <v>3.2</v>
      </c>
    </row>
    <row r="69" spans="1:5" x14ac:dyDescent="0.15">
      <c r="A69" s="2" t="s">
        <v>4</v>
      </c>
      <c r="B69" s="2" t="s">
        <v>0</v>
      </c>
      <c r="C69" s="2">
        <v>40</v>
      </c>
      <c r="D69" s="2" t="s">
        <v>27</v>
      </c>
      <c r="E69" s="3">
        <v>3.6</v>
      </c>
    </row>
    <row r="70" spans="1:5" x14ac:dyDescent="0.15">
      <c r="A70" s="2" t="s">
        <v>4</v>
      </c>
      <c r="B70" s="2" t="s">
        <v>0</v>
      </c>
      <c r="C70" s="2">
        <v>40</v>
      </c>
      <c r="D70" s="2" t="s">
        <v>28</v>
      </c>
      <c r="E70" s="3">
        <v>3.6</v>
      </c>
    </row>
    <row r="71" spans="1:5" x14ac:dyDescent="0.15">
      <c r="A71" s="2" t="s">
        <v>4</v>
      </c>
      <c r="B71" s="2" t="s">
        <v>0</v>
      </c>
      <c r="C71" s="2">
        <v>40</v>
      </c>
      <c r="D71" s="2" t="s">
        <v>29</v>
      </c>
      <c r="E71" s="3">
        <v>5</v>
      </c>
    </row>
    <row r="72" spans="1:5" x14ac:dyDescent="0.15">
      <c r="A72" s="2" t="s">
        <v>4</v>
      </c>
      <c r="B72" s="2" t="s">
        <v>0</v>
      </c>
      <c r="C72" s="2">
        <v>40</v>
      </c>
      <c r="D72" s="2" t="s">
        <v>30</v>
      </c>
      <c r="E72" s="3">
        <v>5</v>
      </c>
    </row>
    <row r="73" spans="1:5" x14ac:dyDescent="0.15">
      <c r="A73" s="2" t="s">
        <v>4</v>
      </c>
      <c r="B73" s="2" t="s">
        <v>0</v>
      </c>
      <c r="C73" s="2">
        <v>40</v>
      </c>
      <c r="D73" s="2" t="s">
        <v>19</v>
      </c>
      <c r="E73" s="3">
        <v>7.1</v>
      </c>
    </row>
    <row r="74" spans="1:5" x14ac:dyDescent="0.15">
      <c r="A74" s="2" t="s">
        <v>4</v>
      </c>
      <c r="B74" s="2" t="s">
        <v>0</v>
      </c>
      <c r="C74" s="2">
        <v>50</v>
      </c>
      <c r="D74" s="2" t="s">
        <v>23</v>
      </c>
      <c r="E74" s="3">
        <v>1.6</v>
      </c>
    </row>
    <row r="75" spans="1:5" x14ac:dyDescent="0.15">
      <c r="A75" s="2" t="s">
        <v>4</v>
      </c>
      <c r="B75" s="2" t="s">
        <v>0</v>
      </c>
      <c r="C75" s="2">
        <v>50</v>
      </c>
      <c r="D75" s="2" t="s">
        <v>24</v>
      </c>
      <c r="E75" s="3">
        <v>1.6</v>
      </c>
    </row>
    <row r="76" spans="1:5" x14ac:dyDescent="0.15">
      <c r="A76" s="2" t="s">
        <v>4</v>
      </c>
      <c r="B76" s="2" t="s">
        <v>0</v>
      </c>
      <c r="C76" s="2">
        <v>50</v>
      </c>
      <c r="D76" s="2" t="s">
        <v>25</v>
      </c>
      <c r="E76" s="3">
        <v>2.9</v>
      </c>
    </row>
    <row r="77" spans="1:5" x14ac:dyDescent="0.15">
      <c r="A77" s="2" t="s">
        <v>4</v>
      </c>
      <c r="B77" s="2" t="s">
        <v>0</v>
      </c>
      <c r="C77" s="2">
        <v>50</v>
      </c>
      <c r="D77" s="2" t="s">
        <v>26</v>
      </c>
      <c r="E77" s="3">
        <v>2.9</v>
      </c>
    </row>
    <row r="78" spans="1:5" x14ac:dyDescent="0.15">
      <c r="A78" s="2" t="s">
        <v>4</v>
      </c>
      <c r="B78" s="2" t="s">
        <v>0</v>
      </c>
      <c r="C78" s="2">
        <v>50</v>
      </c>
      <c r="D78" s="2" t="s">
        <v>12</v>
      </c>
      <c r="E78" s="3">
        <v>3.2</v>
      </c>
    </row>
    <row r="79" spans="1:5" x14ac:dyDescent="0.15">
      <c r="A79" s="2" t="s">
        <v>4</v>
      </c>
      <c r="B79" s="2" t="s">
        <v>0</v>
      </c>
      <c r="C79" s="2">
        <v>50</v>
      </c>
      <c r="D79" s="2" t="s">
        <v>27</v>
      </c>
      <c r="E79" s="3">
        <v>4</v>
      </c>
    </row>
    <row r="80" spans="1:5" x14ac:dyDescent="0.15">
      <c r="A80" s="2" t="s">
        <v>4</v>
      </c>
      <c r="B80" s="2" t="s">
        <v>0</v>
      </c>
      <c r="C80" s="2">
        <v>50</v>
      </c>
      <c r="D80" s="2" t="s">
        <v>28</v>
      </c>
      <c r="E80" s="3">
        <v>4</v>
      </c>
    </row>
    <row r="81" spans="1:5" x14ac:dyDescent="0.15">
      <c r="A81" s="2" t="s">
        <v>4</v>
      </c>
      <c r="B81" s="2" t="s">
        <v>0</v>
      </c>
      <c r="C81" s="2">
        <v>50</v>
      </c>
      <c r="D81" s="2" t="s">
        <v>29</v>
      </c>
      <c r="E81" s="3">
        <v>5.6</v>
      </c>
    </row>
    <row r="82" spans="1:5" x14ac:dyDescent="0.15">
      <c r="A82" s="2" t="s">
        <v>4</v>
      </c>
      <c r="B82" s="2" t="s">
        <v>0</v>
      </c>
      <c r="C82" s="2">
        <v>50</v>
      </c>
      <c r="D82" s="2" t="s">
        <v>30</v>
      </c>
      <c r="E82" s="3">
        <v>5.6</v>
      </c>
    </row>
    <row r="83" spans="1:5" x14ac:dyDescent="0.15">
      <c r="A83" s="2" t="s">
        <v>4</v>
      </c>
      <c r="B83" s="2" t="s">
        <v>0</v>
      </c>
      <c r="C83" s="2">
        <v>50</v>
      </c>
      <c r="D83" s="2" t="s">
        <v>19</v>
      </c>
      <c r="E83" s="3">
        <v>8.8000000000000007</v>
      </c>
    </row>
    <row r="84" spans="1:5" x14ac:dyDescent="0.15">
      <c r="A84" s="2" t="s">
        <v>4</v>
      </c>
      <c r="B84" s="2" t="s">
        <v>0</v>
      </c>
      <c r="C84" s="2">
        <v>65</v>
      </c>
      <c r="D84" s="2" t="s">
        <v>23</v>
      </c>
      <c r="E84" s="3">
        <v>2</v>
      </c>
    </row>
    <row r="85" spans="1:5" x14ac:dyDescent="0.15">
      <c r="A85" s="2" t="s">
        <v>4</v>
      </c>
      <c r="B85" s="2" t="s">
        <v>0</v>
      </c>
      <c r="C85" s="2">
        <v>65</v>
      </c>
      <c r="D85" s="2" t="s">
        <v>24</v>
      </c>
      <c r="E85" s="3">
        <v>2</v>
      </c>
    </row>
    <row r="86" spans="1:5" x14ac:dyDescent="0.15">
      <c r="A86" s="2" t="s">
        <v>4</v>
      </c>
      <c r="B86" s="2" t="s">
        <v>0</v>
      </c>
      <c r="C86" s="2">
        <v>65</v>
      </c>
      <c r="D86" s="2" t="s">
        <v>25</v>
      </c>
      <c r="E86" s="3">
        <v>3.2</v>
      </c>
    </row>
    <row r="87" spans="1:5" x14ac:dyDescent="0.15">
      <c r="A87" s="2" t="s">
        <v>4</v>
      </c>
      <c r="B87" s="2" t="s">
        <v>0</v>
      </c>
      <c r="C87" s="2">
        <v>65</v>
      </c>
      <c r="D87" s="2" t="s">
        <v>26</v>
      </c>
      <c r="E87" s="3">
        <v>3.2</v>
      </c>
    </row>
    <row r="88" spans="1:5" x14ac:dyDescent="0.15">
      <c r="A88" s="2" t="s">
        <v>4</v>
      </c>
      <c r="B88" s="2" t="s">
        <v>0</v>
      </c>
      <c r="C88" s="2">
        <v>65</v>
      </c>
      <c r="D88" s="2" t="s">
        <v>12</v>
      </c>
      <c r="E88" s="3">
        <v>4.5</v>
      </c>
    </row>
    <row r="89" spans="1:5" x14ac:dyDescent="0.15">
      <c r="A89" s="2" t="s">
        <v>4</v>
      </c>
      <c r="B89" s="2" t="s">
        <v>0</v>
      </c>
      <c r="C89" s="2">
        <v>65</v>
      </c>
      <c r="D89" s="2" t="s">
        <v>27</v>
      </c>
      <c r="E89" s="3">
        <v>5</v>
      </c>
    </row>
    <row r="90" spans="1:5" x14ac:dyDescent="0.15">
      <c r="A90" s="2" t="s">
        <v>4</v>
      </c>
      <c r="B90" s="2" t="s">
        <v>0</v>
      </c>
      <c r="C90" s="2">
        <v>65</v>
      </c>
      <c r="D90" s="2" t="s">
        <v>28</v>
      </c>
      <c r="E90" s="3">
        <v>5</v>
      </c>
    </row>
    <row r="91" spans="1:5" x14ac:dyDescent="0.15">
      <c r="A91" s="2" t="s">
        <v>4</v>
      </c>
      <c r="B91" s="2" t="s">
        <v>0</v>
      </c>
      <c r="C91" s="2">
        <v>65</v>
      </c>
      <c r="D91" s="2" t="s">
        <v>29</v>
      </c>
      <c r="E91" s="3">
        <v>7.1</v>
      </c>
    </row>
    <row r="92" spans="1:5" x14ac:dyDescent="0.15">
      <c r="A92" s="2" t="s">
        <v>4</v>
      </c>
      <c r="B92" s="2" t="s">
        <v>0</v>
      </c>
      <c r="C92" s="2">
        <v>65</v>
      </c>
      <c r="D92" s="2" t="s">
        <v>30</v>
      </c>
      <c r="E92" s="3">
        <v>7.1</v>
      </c>
    </row>
    <row r="93" spans="1:5" x14ac:dyDescent="0.15">
      <c r="A93" s="2" t="s">
        <v>4</v>
      </c>
      <c r="B93" s="2" t="s">
        <v>0</v>
      </c>
      <c r="C93" s="2">
        <v>65</v>
      </c>
      <c r="D93" s="2" t="s">
        <v>19</v>
      </c>
      <c r="E93" s="3">
        <v>10</v>
      </c>
    </row>
    <row r="94" spans="1:5" x14ac:dyDescent="0.15">
      <c r="A94" s="2" t="s">
        <v>4</v>
      </c>
      <c r="B94" s="2" t="s">
        <v>0</v>
      </c>
      <c r="C94" s="2">
        <v>80</v>
      </c>
      <c r="D94" s="2" t="s">
        <v>23</v>
      </c>
      <c r="E94" s="3">
        <v>2</v>
      </c>
    </row>
    <row r="95" spans="1:5" x14ac:dyDescent="0.15">
      <c r="A95" s="2" t="s">
        <v>4</v>
      </c>
      <c r="B95" s="2" t="s">
        <v>0</v>
      </c>
      <c r="C95" s="2">
        <v>80</v>
      </c>
      <c r="D95" s="2" t="s">
        <v>24</v>
      </c>
      <c r="E95" s="3">
        <v>2</v>
      </c>
    </row>
    <row r="96" spans="1:5" x14ac:dyDescent="0.15">
      <c r="A96" s="2" t="s">
        <v>4</v>
      </c>
      <c r="B96" s="2" t="s">
        <v>0</v>
      </c>
      <c r="C96" s="2">
        <v>80</v>
      </c>
      <c r="D96" s="2" t="s">
        <v>25</v>
      </c>
      <c r="E96" s="3">
        <v>3.2</v>
      </c>
    </row>
    <row r="97" spans="1:5" x14ac:dyDescent="0.15">
      <c r="A97" s="2" t="s">
        <v>4</v>
      </c>
      <c r="B97" s="2" t="s">
        <v>0</v>
      </c>
      <c r="C97" s="2">
        <v>80</v>
      </c>
      <c r="D97" s="2" t="s">
        <v>26</v>
      </c>
      <c r="E97" s="3">
        <v>3.2</v>
      </c>
    </row>
    <row r="98" spans="1:5" x14ac:dyDescent="0.15">
      <c r="A98" s="2" t="s">
        <v>4</v>
      </c>
      <c r="B98" s="2" t="s">
        <v>0</v>
      </c>
      <c r="C98" s="2">
        <v>80</v>
      </c>
      <c r="D98" s="2" t="s">
        <v>12</v>
      </c>
      <c r="E98" s="3">
        <v>5</v>
      </c>
    </row>
    <row r="99" spans="1:5" x14ac:dyDescent="0.15">
      <c r="A99" s="2" t="s">
        <v>4</v>
      </c>
      <c r="B99" s="2" t="s">
        <v>0</v>
      </c>
      <c r="C99" s="2">
        <v>80</v>
      </c>
      <c r="D99" s="2" t="s">
        <v>27</v>
      </c>
      <c r="E99" s="3">
        <v>5.6</v>
      </c>
    </row>
    <row r="100" spans="1:5" x14ac:dyDescent="0.15">
      <c r="A100" s="2" t="s">
        <v>4</v>
      </c>
      <c r="B100" s="2" t="s">
        <v>0</v>
      </c>
      <c r="C100" s="2">
        <v>80</v>
      </c>
      <c r="D100" s="2" t="s">
        <v>28</v>
      </c>
      <c r="E100" s="3">
        <v>5.6</v>
      </c>
    </row>
    <row r="101" spans="1:5" x14ac:dyDescent="0.15">
      <c r="A101" s="2" t="s">
        <v>4</v>
      </c>
      <c r="B101" s="2" t="s">
        <v>0</v>
      </c>
      <c r="C101" s="2">
        <v>80</v>
      </c>
      <c r="D101" s="2" t="s">
        <v>29</v>
      </c>
      <c r="E101" s="3">
        <v>8</v>
      </c>
    </row>
    <row r="102" spans="1:5" x14ac:dyDescent="0.15">
      <c r="A102" s="2" t="s">
        <v>4</v>
      </c>
      <c r="B102" s="2" t="s">
        <v>0</v>
      </c>
      <c r="C102" s="2">
        <v>80</v>
      </c>
      <c r="D102" s="2" t="s">
        <v>30</v>
      </c>
      <c r="E102" s="3">
        <v>8</v>
      </c>
    </row>
    <row r="103" spans="1:5" x14ac:dyDescent="0.15">
      <c r="A103" s="2" t="s">
        <v>4</v>
      </c>
      <c r="B103" s="2" t="s">
        <v>0</v>
      </c>
      <c r="C103" s="2">
        <v>80</v>
      </c>
      <c r="D103" s="2" t="s">
        <v>19</v>
      </c>
      <c r="E103" s="3">
        <v>11</v>
      </c>
    </row>
    <row r="104" spans="1:5" x14ac:dyDescent="0.15">
      <c r="A104" s="2" t="s">
        <v>4</v>
      </c>
      <c r="B104" s="2" t="s">
        <v>0</v>
      </c>
      <c r="C104" s="2">
        <v>100</v>
      </c>
      <c r="D104" s="2" t="s">
        <v>23</v>
      </c>
      <c r="E104" s="3">
        <v>2</v>
      </c>
    </row>
    <row r="105" spans="1:5" x14ac:dyDescent="0.15">
      <c r="A105" s="2" t="s">
        <v>4</v>
      </c>
      <c r="B105" s="2" t="s">
        <v>0</v>
      </c>
      <c r="C105" s="2">
        <v>100</v>
      </c>
      <c r="D105" s="2" t="s">
        <v>24</v>
      </c>
      <c r="E105" s="3">
        <v>2</v>
      </c>
    </row>
    <row r="106" spans="1:5" x14ac:dyDescent="0.15">
      <c r="A106" s="2" t="s">
        <v>4</v>
      </c>
      <c r="B106" s="2" t="s">
        <v>0</v>
      </c>
      <c r="C106" s="2">
        <v>100</v>
      </c>
      <c r="D106" s="2" t="s">
        <v>25</v>
      </c>
      <c r="E106" s="3">
        <v>3.2</v>
      </c>
    </row>
    <row r="107" spans="1:5" x14ac:dyDescent="0.15">
      <c r="A107" s="2" t="s">
        <v>4</v>
      </c>
      <c r="B107" s="2" t="s">
        <v>0</v>
      </c>
      <c r="C107" s="2">
        <v>100</v>
      </c>
      <c r="D107" s="2" t="s">
        <v>26</v>
      </c>
      <c r="E107" s="3">
        <v>3.2</v>
      </c>
    </row>
    <row r="108" spans="1:5" x14ac:dyDescent="0.15">
      <c r="A108" s="2" t="s">
        <v>4</v>
      </c>
      <c r="B108" s="2" t="s">
        <v>0</v>
      </c>
      <c r="C108" s="2">
        <v>100</v>
      </c>
      <c r="D108" s="2" t="s">
        <v>12</v>
      </c>
      <c r="E108" s="3">
        <v>5</v>
      </c>
    </row>
    <row r="109" spans="1:5" x14ac:dyDescent="0.15">
      <c r="A109" s="2" t="s">
        <v>4</v>
      </c>
      <c r="B109" s="2" t="s">
        <v>0</v>
      </c>
      <c r="C109" s="2">
        <v>100</v>
      </c>
      <c r="D109" s="2" t="s">
        <v>27</v>
      </c>
      <c r="E109" s="3">
        <v>6.3</v>
      </c>
    </row>
    <row r="110" spans="1:5" x14ac:dyDescent="0.15">
      <c r="A110" s="2" t="s">
        <v>4</v>
      </c>
      <c r="B110" s="2" t="s">
        <v>0</v>
      </c>
      <c r="C110" s="2">
        <v>100</v>
      </c>
      <c r="D110" s="2" t="s">
        <v>28</v>
      </c>
      <c r="E110" s="3">
        <v>6.3</v>
      </c>
    </row>
    <row r="111" spans="1:5" x14ac:dyDescent="0.15">
      <c r="A111" s="2" t="s">
        <v>4</v>
      </c>
      <c r="B111" s="2" t="s">
        <v>0</v>
      </c>
      <c r="C111" s="2">
        <v>100</v>
      </c>
      <c r="D111" s="2" t="s">
        <v>29</v>
      </c>
      <c r="E111" s="3">
        <v>8.8000000000000007</v>
      </c>
    </row>
    <row r="112" spans="1:5" x14ac:dyDescent="0.15">
      <c r="A112" s="2" t="s">
        <v>4</v>
      </c>
      <c r="B112" s="2" t="s">
        <v>0</v>
      </c>
      <c r="C112" s="2">
        <v>100</v>
      </c>
      <c r="D112" s="2" t="s">
        <v>30</v>
      </c>
      <c r="E112" s="3">
        <v>8.8000000000000007</v>
      </c>
    </row>
    <row r="113" spans="1:5" x14ac:dyDescent="0.15">
      <c r="A113" s="2" t="s">
        <v>4</v>
      </c>
      <c r="B113" s="2" t="s">
        <v>0</v>
      </c>
      <c r="C113" s="2">
        <v>100</v>
      </c>
      <c r="D113" s="2" t="s">
        <v>32</v>
      </c>
      <c r="E113" s="3">
        <v>11</v>
      </c>
    </row>
    <row r="114" spans="1:5" x14ac:dyDescent="0.15">
      <c r="A114" s="2" t="s">
        <v>4</v>
      </c>
      <c r="B114" s="2" t="s">
        <v>0</v>
      </c>
      <c r="C114" s="2">
        <v>100</v>
      </c>
      <c r="D114" s="2" t="s">
        <v>19</v>
      </c>
      <c r="E114" s="3">
        <v>14.2</v>
      </c>
    </row>
    <row r="115" spans="1:5" x14ac:dyDescent="0.15">
      <c r="A115" s="2" t="s">
        <v>4</v>
      </c>
      <c r="B115" s="2" t="s">
        <v>0</v>
      </c>
      <c r="C115" s="2">
        <v>125</v>
      </c>
      <c r="D115" s="2" t="s">
        <v>23</v>
      </c>
      <c r="E115" s="3">
        <v>2.9</v>
      </c>
    </row>
    <row r="116" spans="1:5" x14ac:dyDescent="0.15">
      <c r="A116" s="2" t="s">
        <v>4</v>
      </c>
      <c r="B116" s="2" t="s">
        <v>0</v>
      </c>
      <c r="C116" s="2">
        <v>125</v>
      </c>
      <c r="D116" s="2" t="s">
        <v>24</v>
      </c>
      <c r="E116" s="3">
        <v>2.9</v>
      </c>
    </row>
    <row r="117" spans="1:5" x14ac:dyDescent="0.15">
      <c r="A117" s="2" t="s">
        <v>4</v>
      </c>
      <c r="B117" s="2" t="s">
        <v>0</v>
      </c>
      <c r="C117" s="2">
        <v>125</v>
      </c>
      <c r="D117" s="2" t="s">
        <v>25</v>
      </c>
      <c r="E117" s="3">
        <v>3.6</v>
      </c>
    </row>
    <row r="118" spans="1:5" x14ac:dyDescent="0.15">
      <c r="A118" s="2" t="s">
        <v>4</v>
      </c>
      <c r="B118" s="2" t="s">
        <v>0</v>
      </c>
      <c r="C118" s="2">
        <v>125</v>
      </c>
      <c r="D118" s="2" t="s">
        <v>26</v>
      </c>
      <c r="E118" s="3">
        <v>3.6</v>
      </c>
    </row>
    <row r="119" spans="1:5" x14ac:dyDescent="0.15">
      <c r="A119" s="2" t="s">
        <v>4</v>
      </c>
      <c r="B119" s="2" t="s">
        <v>0</v>
      </c>
      <c r="C119" s="2">
        <v>125</v>
      </c>
      <c r="D119" s="2" t="s">
        <v>27</v>
      </c>
      <c r="E119" s="3">
        <v>6.3</v>
      </c>
    </row>
    <row r="120" spans="1:5" x14ac:dyDescent="0.15">
      <c r="A120" s="2" t="s">
        <v>4</v>
      </c>
      <c r="B120" s="2" t="s">
        <v>0</v>
      </c>
      <c r="C120" s="2">
        <v>125</v>
      </c>
      <c r="D120" s="2" t="s">
        <v>28</v>
      </c>
      <c r="E120" s="3">
        <v>6.3</v>
      </c>
    </row>
    <row r="121" spans="1:5" x14ac:dyDescent="0.15">
      <c r="A121" s="2" t="s">
        <v>4</v>
      </c>
      <c r="B121" s="2" t="s">
        <v>0</v>
      </c>
      <c r="C121" s="2">
        <v>125</v>
      </c>
      <c r="D121" s="2" t="s">
        <v>29</v>
      </c>
      <c r="E121" s="3">
        <v>10</v>
      </c>
    </row>
    <row r="122" spans="1:5" x14ac:dyDescent="0.15">
      <c r="A122" s="2" t="s">
        <v>4</v>
      </c>
      <c r="B122" s="2" t="s">
        <v>0</v>
      </c>
      <c r="C122" s="2">
        <v>125</v>
      </c>
      <c r="D122" s="2" t="s">
        <v>30</v>
      </c>
      <c r="E122" s="3">
        <v>10</v>
      </c>
    </row>
    <row r="123" spans="1:5" x14ac:dyDescent="0.15">
      <c r="A123" s="2" t="s">
        <v>4</v>
      </c>
      <c r="B123" s="2" t="s">
        <v>0</v>
      </c>
      <c r="C123" s="2">
        <v>125</v>
      </c>
      <c r="D123" s="2" t="s">
        <v>32</v>
      </c>
      <c r="E123" s="3">
        <v>12.5</v>
      </c>
    </row>
    <row r="124" spans="1:5" x14ac:dyDescent="0.15">
      <c r="A124" s="2" t="s">
        <v>4</v>
      </c>
      <c r="B124" s="2" t="s">
        <v>0</v>
      </c>
      <c r="C124" s="2">
        <v>125</v>
      </c>
      <c r="D124" s="2" t="s">
        <v>19</v>
      </c>
      <c r="E124" s="3">
        <v>16</v>
      </c>
    </row>
    <row r="125" spans="1:5" x14ac:dyDescent="0.15">
      <c r="A125" s="2" t="s">
        <v>4</v>
      </c>
      <c r="B125" s="2" t="s">
        <v>0</v>
      </c>
      <c r="C125" s="2">
        <v>150</v>
      </c>
      <c r="D125" s="2" t="s">
        <v>23</v>
      </c>
      <c r="E125" s="3">
        <v>2.9</v>
      </c>
    </row>
    <row r="126" spans="1:5" x14ac:dyDescent="0.15">
      <c r="A126" s="2" t="s">
        <v>4</v>
      </c>
      <c r="B126" s="2" t="s">
        <v>0</v>
      </c>
      <c r="C126" s="2">
        <v>150</v>
      </c>
      <c r="D126" s="2" t="s">
        <v>24</v>
      </c>
      <c r="E126" s="3">
        <v>2.9</v>
      </c>
    </row>
    <row r="127" spans="1:5" x14ac:dyDescent="0.15">
      <c r="A127" s="2" t="s">
        <v>4</v>
      </c>
      <c r="B127" s="2" t="s">
        <v>0</v>
      </c>
      <c r="C127" s="2">
        <v>150</v>
      </c>
      <c r="D127" s="2" t="s">
        <v>25</v>
      </c>
      <c r="E127" s="3">
        <v>3.6</v>
      </c>
    </row>
    <row r="128" spans="1:5" x14ac:dyDescent="0.15">
      <c r="A128" s="2" t="s">
        <v>4</v>
      </c>
      <c r="B128" s="2" t="s">
        <v>0</v>
      </c>
      <c r="C128" s="2">
        <v>150</v>
      </c>
      <c r="D128" s="2" t="s">
        <v>26</v>
      </c>
      <c r="E128" s="3">
        <v>3.6</v>
      </c>
    </row>
    <row r="129" spans="1:5" x14ac:dyDescent="0.15">
      <c r="A129" s="2" t="s">
        <v>4</v>
      </c>
      <c r="B129" s="2" t="s">
        <v>0</v>
      </c>
      <c r="C129" s="2">
        <v>150</v>
      </c>
      <c r="D129" s="2" t="s">
        <v>27</v>
      </c>
      <c r="E129" s="3">
        <v>7.1</v>
      </c>
    </row>
    <row r="130" spans="1:5" x14ac:dyDescent="0.15">
      <c r="A130" s="2" t="s">
        <v>4</v>
      </c>
      <c r="B130" s="2" t="s">
        <v>0</v>
      </c>
      <c r="C130" s="2">
        <v>150</v>
      </c>
      <c r="D130" s="2" t="s">
        <v>28</v>
      </c>
      <c r="E130" s="3">
        <v>7.1</v>
      </c>
    </row>
    <row r="131" spans="1:5" x14ac:dyDescent="0.15">
      <c r="A131" s="2" t="s">
        <v>4</v>
      </c>
      <c r="B131" s="2" t="s">
        <v>0</v>
      </c>
      <c r="C131" s="2">
        <v>150</v>
      </c>
      <c r="D131" s="2" t="s">
        <v>29</v>
      </c>
      <c r="E131" s="3">
        <v>11</v>
      </c>
    </row>
    <row r="132" spans="1:5" x14ac:dyDescent="0.15">
      <c r="A132" s="2" t="s">
        <v>4</v>
      </c>
      <c r="B132" s="2" t="s">
        <v>0</v>
      </c>
      <c r="C132" s="2">
        <v>150</v>
      </c>
      <c r="D132" s="2" t="s">
        <v>30</v>
      </c>
      <c r="E132" s="3">
        <v>11</v>
      </c>
    </row>
    <row r="133" spans="1:5" x14ac:dyDescent="0.15">
      <c r="A133" s="2" t="s">
        <v>4</v>
      </c>
      <c r="B133" s="2" t="s">
        <v>0</v>
      </c>
      <c r="C133" s="2">
        <v>150</v>
      </c>
      <c r="D133" s="2" t="s">
        <v>32</v>
      </c>
      <c r="E133" s="3">
        <v>14.2</v>
      </c>
    </row>
    <row r="134" spans="1:5" x14ac:dyDescent="0.15">
      <c r="A134" s="2" t="s">
        <v>4</v>
      </c>
      <c r="B134" s="2" t="s">
        <v>0</v>
      </c>
      <c r="C134" s="2">
        <v>150</v>
      </c>
      <c r="D134" s="2" t="s">
        <v>19</v>
      </c>
      <c r="E134" s="3">
        <v>17.5</v>
      </c>
    </row>
    <row r="135" spans="1:5" x14ac:dyDescent="0.15">
      <c r="A135" s="2" t="s">
        <v>4</v>
      </c>
      <c r="B135" s="2" t="s">
        <v>0</v>
      </c>
      <c r="C135" s="2">
        <v>200</v>
      </c>
      <c r="D135" s="2" t="s">
        <v>23</v>
      </c>
      <c r="E135" s="3">
        <v>2.9</v>
      </c>
    </row>
    <row r="136" spans="1:5" x14ac:dyDescent="0.15">
      <c r="A136" s="2" t="s">
        <v>4</v>
      </c>
      <c r="B136" s="2" t="s">
        <v>0</v>
      </c>
      <c r="C136" s="2">
        <v>200</v>
      </c>
      <c r="D136" s="2" t="s">
        <v>24</v>
      </c>
      <c r="E136" s="3">
        <v>2.9</v>
      </c>
    </row>
    <row r="137" spans="1:5" x14ac:dyDescent="0.15">
      <c r="A137" s="2" t="s">
        <v>4</v>
      </c>
      <c r="B137" s="2" t="s">
        <v>0</v>
      </c>
      <c r="C137" s="2">
        <v>200</v>
      </c>
      <c r="D137" s="2" t="s">
        <v>25</v>
      </c>
      <c r="E137" s="3">
        <v>4</v>
      </c>
    </row>
    <row r="138" spans="1:5" x14ac:dyDescent="0.15">
      <c r="A138" s="2" t="s">
        <v>4</v>
      </c>
      <c r="B138" s="2" t="s">
        <v>0</v>
      </c>
      <c r="C138" s="2">
        <v>200</v>
      </c>
      <c r="D138" s="2" t="s">
        <v>26</v>
      </c>
      <c r="E138" s="3">
        <v>4</v>
      </c>
    </row>
    <row r="139" spans="1:5" x14ac:dyDescent="0.15">
      <c r="A139" s="2" t="s">
        <v>4</v>
      </c>
      <c r="B139" s="2" t="s">
        <v>0</v>
      </c>
      <c r="C139" s="2">
        <v>200</v>
      </c>
      <c r="D139" s="2" t="s">
        <v>33</v>
      </c>
      <c r="E139" s="3">
        <v>6.3</v>
      </c>
    </row>
    <row r="140" spans="1:5" x14ac:dyDescent="0.15">
      <c r="A140" s="2" t="s">
        <v>4</v>
      </c>
      <c r="B140" s="2" t="s">
        <v>0</v>
      </c>
      <c r="C140" s="2">
        <v>200</v>
      </c>
      <c r="D140" s="2" t="s">
        <v>12</v>
      </c>
      <c r="E140" s="3">
        <v>7.1</v>
      </c>
    </row>
    <row r="141" spans="1:5" x14ac:dyDescent="0.15">
      <c r="A141" s="2" t="s">
        <v>4</v>
      </c>
      <c r="B141" s="2" t="s">
        <v>0</v>
      </c>
      <c r="C141" s="2">
        <v>200</v>
      </c>
      <c r="D141" s="2" t="s">
        <v>27</v>
      </c>
      <c r="E141" s="3">
        <v>8</v>
      </c>
    </row>
    <row r="142" spans="1:5" x14ac:dyDescent="0.15">
      <c r="A142" s="2" t="s">
        <v>4</v>
      </c>
      <c r="B142" s="2" t="s">
        <v>0</v>
      </c>
      <c r="C142" s="2">
        <v>200</v>
      </c>
      <c r="D142" s="2" t="s">
        <v>28</v>
      </c>
      <c r="E142" s="3">
        <v>8</v>
      </c>
    </row>
    <row r="143" spans="1:5" x14ac:dyDescent="0.15">
      <c r="A143" s="2" t="s">
        <v>4</v>
      </c>
      <c r="B143" s="2" t="s">
        <v>0</v>
      </c>
      <c r="C143" s="2">
        <v>200</v>
      </c>
      <c r="D143" s="2" t="s">
        <v>34</v>
      </c>
      <c r="E143" s="3">
        <v>10</v>
      </c>
    </row>
    <row r="144" spans="1:5" x14ac:dyDescent="0.15">
      <c r="A144" s="2" t="s">
        <v>4</v>
      </c>
      <c r="B144" s="2" t="s">
        <v>0</v>
      </c>
      <c r="C144" s="2">
        <v>200</v>
      </c>
      <c r="D144" s="2" t="s">
        <v>29</v>
      </c>
      <c r="E144" s="3">
        <v>12.5</v>
      </c>
    </row>
    <row r="145" spans="1:5" x14ac:dyDescent="0.15">
      <c r="A145" s="2" t="s">
        <v>4</v>
      </c>
      <c r="B145" s="2" t="s">
        <v>0</v>
      </c>
      <c r="C145" s="2">
        <v>200</v>
      </c>
      <c r="D145" s="2" t="s">
        <v>30</v>
      </c>
      <c r="E145" s="3">
        <v>12.5</v>
      </c>
    </row>
    <row r="146" spans="1:5" x14ac:dyDescent="0.15">
      <c r="A146" s="2" t="s">
        <v>4</v>
      </c>
      <c r="B146" s="2" t="s">
        <v>0</v>
      </c>
      <c r="C146" s="2">
        <v>200</v>
      </c>
      <c r="D146" s="2" t="s">
        <v>35</v>
      </c>
      <c r="E146" s="3">
        <v>16</v>
      </c>
    </row>
    <row r="147" spans="1:5" x14ac:dyDescent="0.15">
      <c r="A147" s="2" t="s">
        <v>4</v>
      </c>
      <c r="B147" s="2" t="s">
        <v>0</v>
      </c>
      <c r="C147" s="2">
        <v>200</v>
      </c>
      <c r="D147" s="2" t="s">
        <v>32</v>
      </c>
      <c r="E147" s="3">
        <v>17.5</v>
      </c>
    </row>
    <row r="148" spans="1:5" x14ac:dyDescent="0.15">
      <c r="A148" s="2" t="s">
        <v>4</v>
      </c>
      <c r="B148" s="2" t="s">
        <v>0</v>
      </c>
      <c r="C148" s="2">
        <v>200</v>
      </c>
      <c r="D148" s="2" t="s">
        <v>18</v>
      </c>
      <c r="E148" s="3">
        <v>20</v>
      </c>
    </row>
    <row r="149" spans="1:5" x14ac:dyDescent="0.15">
      <c r="A149" s="2" t="s">
        <v>4</v>
      </c>
      <c r="B149" s="2" t="s">
        <v>0</v>
      </c>
      <c r="C149" s="2">
        <v>200</v>
      </c>
      <c r="D149" s="2" t="s">
        <v>19</v>
      </c>
      <c r="E149" s="3">
        <v>22.2</v>
      </c>
    </row>
    <row r="150" spans="1:5" x14ac:dyDescent="0.15">
      <c r="A150" s="2" t="s">
        <v>4</v>
      </c>
      <c r="B150" s="2" t="s">
        <v>0</v>
      </c>
      <c r="C150" s="2">
        <v>250</v>
      </c>
      <c r="D150" s="2" t="s">
        <v>23</v>
      </c>
      <c r="E150" s="3">
        <v>3.6</v>
      </c>
    </row>
    <row r="151" spans="1:5" x14ac:dyDescent="0.15">
      <c r="A151" s="2" t="s">
        <v>4</v>
      </c>
      <c r="B151" s="2" t="s">
        <v>0</v>
      </c>
      <c r="C151" s="2">
        <v>250</v>
      </c>
      <c r="D151" s="2" t="s">
        <v>24</v>
      </c>
      <c r="E151" s="3">
        <v>3.6</v>
      </c>
    </row>
    <row r="152" spans="1:5" x14ac:dyDescent="0.15">
      <c r="A152" s="2" t="s">
        <v>4</v>
      </c>
      <c r="B152" s="2" t="s">
        <v>0</v>
      </c>
      <c r="C152" s="2">
        <v>250</v>
      </c>
      <c r="D152" s="2" t="s">
        <v>25</v>
      </c>
      <c r="E152" s="3">
        <v>4</v>
      </c>
    </row>
    <row r="153" spans="1:5" x14ac:dyDescent="0.15">
      <c r="A153" s="2" t="s">
        <v>4</v>
      </c>
      <c r="B153" s="2" t="s">
        <v>0</v>
      </c>
      <c r="C153" s="2">
        <v>250</v>
      </c>
      <c r="D153" s="2" t="s">
        <v>26</v>
      </c>
      <c r="E153" s="3">
        <v>4</v>
      </c>
    </row>
    <row r="154" spans="1:5" x14ac:dyDescent="0.15">
      <c r="A154" s="2" t="s">
        <v>4</v>
      </c>
      <c r="B154" s="2" t="s">
        <v>0</v>
      </c>
      <c r="C154" s="2">
        <v>250</v>
      </c>
      <c r="D154" s="2" t="s">
        <v>33</v>
      </c>
      <c r="E154" s="3">
        <v>6.3</v>
      </c>
    </row>
    <row r="155" spans="1:5" x14ac:dyDescent="0.15">
      <c r="A155" s="2" t="s">
        <v>4</v>
      </c>
      <c r="B155" s="2" t="s">
        <v>0</v>
      </c>
      <c r="C155" s="2">
        <v>250</v>
      </c>
      <c r="D155" s="2" t="s">
        <v>12</v>
      </c>
      <c r="E155" s="3">
        <v>8</v>
      </c>
    </row>
    <row r="156" spans="1:5" x14ac:dyDescent="0.15">
      <c r="A156" s="2" t="s">
        <v>4</v>
      </c>
      <c r="B156" s="2" t="s">
        <v>0</v>
      </c>
      <c r="C156" s="2">
        <v>250</v>
      </c>
      <c r="D156" s="2" t="s">
        <v>27</v>
      </c>
      <c r="E156" s="3">
        <v>8.8000000000000007</v>
      </c>
    </row>
    <row r="157" spans="1:5" x14ac:dyDescent="0.15">
      <c r="A157" s="2" t="s">
        <v>4</v>
      </c>
      <c r="B157" s="2" t="s">
        <v>0</v>
      </c>
      <c r="C157" s="2">
        <v>250</v>
      </c>
      <c r="D157" s="2" t="s">
        <v>28</v>
      </c>
      <c r="E157" s="3">
        <v>8.8000000000000007</v>
      </c>
    </row>
    <row r="158" spans="1:5" x14ac:dyDescent="0.15">
      <c r="A158" s="2" t="s">
        <v>4</v>
      </c>
      <c r="B158" s="2" t="s">
        <v>0</v>
      </c>
      <c r="C158" s="2">
        <v>250</v>
      </c>
      <c r="D158" s="2" t="s">
        <v>34</v>
      </c>
      <c r="E158" s="3">
        <v>12.5</v>
      </c>
    </row>
    <row r="159" spans="1:5" x14ac:dyDescent="0.15">
      <c r="A159" s="2" t="s">
        <v>4</v>
      </c>
      <c r="B159" s="2" t="s">
        <v>0</v>
      </c>
      <c r="C159" s="2">
        <v>250</v>
      </c>
      <c r="D159" s="2" t="s">
        <v>29</v>
      </c>
      <c r="E159" s="3">
        <v>12.5</v>
      </c>
    </row>
    <row r="160" spans="1:5" x14ac:dyDescent="0.15">
      <c r="A160" s="2" t="s">
        <v>4</v>
      </c>
      <c r="B160" s="2" t="s">
        <v>0</v>
      </c>
      <c r="C160" s="2">
        <v>250</v>
      </c>
      <c r="D160" s="2" t="s">
        <v>30</v>
      </c>
      <c r="E160" s="3">
        <v>16</v>
      </c>
    </row>
    <row r="161" spans="1:5" x14ac:dyDescent="0.15">
      <c r="A161" s="2" t="s">
        <v>4</v>
      </c>
      <c r="B161" s="2" t="s">
        <v>0</v>
      </c>
      <c r="C161" s="2">
        <v>250</v>
      </c>
      <c r="D161" s="2" t="s">
        <v>35</v>
      </c>
      <c r="E161" s="3">
        <v>17.5</v>
      </c>
    </row>
    <row r="162" spans="1:5" x14ac:dyDescent="0.15">
      <c r="A162" s="2" t="s">
        <v>4</v>
      </c>
      <c r="B162" s="2" t="s">
        <v>0</v>
      </c>
      <c r="C162" s="2">
        <v>250</v>
      </c>
      <c r="D162" s="2" t="s">
        <v>32</v>
      </c>
      <c r="E162" s="3">
        <v>22.2</v>
      </c>
    </row>
    <row r="163" spans="1:5" x14ac:dyDescent="0.15">
      <c r="A163" s="2" t="s">
        <v>4</v>
      </c>
      <c r="B163" s="2" t="s">
        <v>0</v>
      </c>
      <c r="C163" s="2">
        <v>250</v>
      </c>
      <c r="D163" s="2" t="s">
        <v>18</v>
      </c>
      <c r="E163" s="3">
        <v>25</v>
      </c>
    </row>
    <row r="164" spans="1:5" x14ac:dyDescent="0.15">
      <c r="A164" s="2" t="s">
        <v>4</v>
      </c>
      <c r="B164" s="2" t="s">
        <v>0</v>
      </c>
      <c r="C164" s="2">
        <v>250</v>
      </c>
      <c r="D164" s="2" t="s">
        <v>19</v>
      </c>
      <c r="E164" s="3">
        <v>28</v>
      </c>
    </row>
    <row r="165" spans="1:5" x14ac:dyDescent="0.15">
      <c r="A165" s="2" t="s">
        <v>4</v>
      </c>
      <c r="B165" s="2" t="s">
        <v>0</v>
      </c>
      <c r="C165" s="2">
        <v>300</v>
      </c>
      <c r="D165" s="2" t="s">
        <v>23</v>
      </c>
      <c r="E165" s="3">
        <v>4</v>
      </c>
    </row>
    <row r="166" spans="1:5" x14ac:dyDescent="0.15">
      <c r="A166" s="2" t="s">
        <v>4</v>
      </c>
      <c r="B166" s="2" t="s">
        <v>0</v>
      </c>
      <c r="C166" s="2">
        <v>300</v>
      </c>
      <c r="D166" s="2" t="s">
        <v>24</v>
      </c>
      <c r="E166" s="3">
        <v>4</v>
      </c>
    </row>
    <row r="167" spans="1:5" x14ac:dyDescent="0.15">
      <c r="A167" s="2" t="s">
        <v>4</v>
      </c>
      <c r="B167" s="2" t="s">
        <v>0</v>
      </c>
      <c r="C167" s="2">
        <v>300</v>
      </c>
      <c r="D167" s="2" t="s">
        <v>25</v>
      </c>
      <c r="E167" s="3">
        <v>4.5</v>
      </c>
    </row>
    <row r="168" spans="1:5" x14ac:dyDescent="0.15">
      <c r="A168" s="2" t="s">
        <v>4</v>
      </c>
      <c r="B168" s="2" t="s">
        <v>0</v>
      </c>
      <c r="C168" s="2">
        <v>300</v>
      </c>
      <c r="D168" s="2" t="s">
        <v>26</v>
      </c>
      <c r="E168" s="3">
        <v>4.5</v>
      </c>
    </row>
    <row r="169" spans="1:5" x14ac:dyDescent="0.15">
      <c r="A169" s="2" t="s">
        <v>4</v>
      </c>
      <c r="B169" s="2" t="s">
        <v>0</v>
      </c>
      <c r="C169" s="2">
        <v>300</v>
      </c>
      <c r="D169" s="2" t="s">
        <v>33</v>
      </c>
      <c r="E169" s="3">
        <v>6.3</v>
      </c>
    </row>
    <row r="170" spans="1:5" x14ac:dyDescent="0.15">
      <c r="A170" s="2" t="s">
        <v>4</v>
      </c>
      <c r="B170" s="2" t="s">
        <v>0</v>
      </c>
      <c r="C170" s="2">
        <v>300</v>
      </c>
      <c r="D170" s="2" t="s">
        <v>12</v>
      </c>
      <c r="E170" s="3">
        <v>8.8000000000000007</v>
      </c>
    </row>
    <row r="171" spans="1:5" x14ac:dyDescent="0.15">
      <c r="A171" s="2" t="s">
        <v>4</v>
      </c>
      <c r="B171" s="2" t="s">
        <v>0</v>
      </c>
      <c r="C171" s="2">
        <v>300</v>
      </c>
      <c r="D171" s="2" t="s">
        <v>27</v>
      </c>
      <c r="E171" s="3">
        <v>10</v>
      </c>
    </row>
    <row r="172" spans="1:5" x14ac:dyDescent="0.15">
      <c r="A172" s="2" t="s">
        <v>4</v>
      </c>
      <c r="B172" s="2" t="s">
        <v>0</v>
      </c>
      <c r="C172" s="2">
        <v>300</v>
      </c>
      <c r="D172" s="2" t="s">
        <v>28</v>
      </c>
      <c r="E172" s="3">
        <v>10</v>
      </c>
    </row>
    <row r="173" spans="1:5" x14ac:dyDescent="0.15">
      <c r="A173" s="2" t="s">
        <v>4</v>
      </c>
      <c r="B173" s="2" t="s">
        <v>0</v>
      </c>
      <c r="C173" s="2">
        <v>300</v>
      </c>
      <c r="D173" s="2" t="s">
        <v>34</v>
      </c>
      <c r="E173" s="3">
        <v>14.2</v>
      </c>
    </row>
    <row r="174" spans="1:5" x14ac:dyDescent="0.15">
      <c r="A174" s="2" t="s">
        <v>4</v>
      </c>
      <c r="B174" s="2" t="s">
        <v>0</v>
      </c>
      <c r="C174" s="2">
        <v>300</v>
      </c>
      <c r="D174" s="2" t="s">
        <v>29</v>
      </c>
      <c r="E174" s="3">
        <v>12.5</v>
      </c>
    </row>
    <row r="175" spans="1:5" x14ac:dyDescent="0.15">
      <c r="A175" s="2" t="s">
        <v>4</v>
      </c>
      <c r="B175" s="2" t="s">
        <v>0</v>
      </c>
      <c r="C175" s="2">
        <v>300</v>
      </c>
      <c r="D175" s="2" t="s">
        <v>30</v>
      </c>
      <c r="E175" s="3">
        <v>17.5</v>
      </c>
    </row>
    <row r="176" spans="1:5" x14ac:dyDescent="0.15">
      <c r="A176" s="2" t="s">
        <v>4</v>
      </c>
      <c r="B176" s="2" t="s">
        <v>0</v>
      </c>
      <c r="C176" s="2">
        <v>300</v>
      </c>
      <c r="D176" s="2" t="s">
        <v>35</v>
      </c>
      <c r="E176" s="3">
        <v>22.2</v>
      </c>
    </row>
    <row r="177" spans="1:5" x14ac:dyDescent="0.15">
      <c r="A177" s="2" t="s">
        <v>4</v>
      </c>
      <c r="B177" s="2" t="s">
        <v>0</v>
      </c>
      <c r="C177" s="2">
        <v>300</v>
      </c>
      <c r="D177" s="2" t="s">
        <v>32</v>
      </c>
      <c r="E177" s="3">
        <v>25</v>
      </c>
    </row>
    <row r="178" spans="1:5" x14ac:dyDescent="0.15">
      <c r="A178" s="2" t="s">
        <v>4</v>
      </c>
      <c r="B178" s="2" t="s">
        <v>0</v>
      </c>
      <c r="C178" s="2">
        <v>300</v>
      </c>
      <c r="D178" s="2" t="s">
        <v>18</v>
      </c>
      <c r="E178" s="3">
        <v>28</v>
      </c>
    </row>
    <row r="179" spans="1:5" x14ac:dyDescent="0.15">
      <c r="A179" s="2" t="s">
        <v>4</v>
      </c>
      <c r="B179" s="2" t="s">
        <v>0</v>
      </c>
      <c r="C179" s="2">
        <v>300</v>
      </c>
      <c r="D179" s="2" t="s">
        <v>19</v>
      </c>
      <c r="E179" s="3">
        <v>32</v>
      </c>
    </row>
    <row r="180" spans="1:5" x14ac:dyDescent="0.15">
      <c r="A180" s="2" t="s">
        <v>4</v>
      </c>
      <c r="B180" s="2" t="s">
        <v>0</v>
      </c>
      <c r="C180" s="2">
        <v>350</v>
      </c>
      <c r="D180" s="2" t="s">
        <v>23</v>
      </c>
      <c r="E180" s="3">
        <v>4</v>
      </c>
    </row>
    <row r="181" spans="1:5" x14ac:dyDescent="0.15">
      <c r="A181" s="2" t="s">
        <v>4</v>
      </c>
      <c r="B181" s="2" t="s">
        <v>0</v>
      </c>
      <c r="C181" s="2">
        <v>350</v>
      </c>
      <c r="D181" s="2" t="s">
        <v>24</v>
      </c>
      <c r="E181" s="3">
        <v>4</v>
      </c>
    </row>
    <row r="182" spans="1:5" x14ac:dyDescent="0.15">
      <c r="A182" s="2" t="s">
        <v>4</v>
      </c>
      <c r="B182" s="2" t="s">
        <v>0</v>
      </c>
      <c r="C182" s="2">
        <v>350</v>
      </c>
      <c r="D182" s="2" t="s">
        <v>25</v>
      </c>
      <c r="E182" s="3">
        <v>5</v>
      </c>
    </row>
    <row r="183" spans="1:5" x14ac:dyDescent="0.15">
      <c r="A183" s="2" t="s">
        <v>4</v>
      </c>
      <c r="B183" s="2" t="s">
        <v>0</v>
      </c>
      <c r="C183" s="2">
        <v>350</v>
      </c>
      <c r="D183" s="2" t="s">
        <v>26</v>
      </c>
      <c r="E183" s="3">
        <v>6.3</v>
      </c>
    </row>
    <row r="184" spans="1:5" x14ac:dyDescent="0.15">
      <c r="A184" s="2" t="s">
        <v>4</v>
      </c>
      <c r="B184" s="2" t="s">
        <v>0</v>
      </c>
      <c r="C184" s="2">
        <v>350</v>
      </c>
      <c r="D184" s="2" t="s">
        <v>33</v>
      </c>
      <c r="E184" s="3">
        <v>8</v>
      </c>
    </row>
    <row r="185" spans="1:5" x14ac:dyDescent="0.15">
      <c r="A185" s="2" t="s">
        <v>4</v>
      </c>
      <c r="B185" s="2" t="s">
        <v>0</v>
      </c>
      <c r="C185" s="2">
        <v>350</v>
      </c>
      <c r="D185" s="2" t="s">
        <v>12</v>
      </c>
      <c r="E185" s="3">
        <v>10</v>
      </c>
    </row>
    <row r="186" spans="1:5" x14ac:dyDescent="0.15">
      <c r="A186" s="2" t="s">
        <v>4</v>
      </c>
      <c r="B186" s="2" t="s">
        <v>0</v>
      </c>
      <c r="C186" s="2">
        <v>350</v>
      </c>
      <c r="D186" s="2" t="s">
        <v>27</v>
      </c>
      <c r="E186" s="3">
        <v>10</v>
      </c>
    </row>
    <row r="187" spans="1:5" x14ac:dyDescent="0.15">
      <c r="A187" s="2" t="s">
        <v>4</v>
      </c>
      <c r="B187" s="2" t="s">
        <v>0</v>
      </c>
      <c r="C187" s="2">
        <v>350</v>
      </c>
      <c r="D187" s="2" t="s">
        <v>28</v>
      </c>
      <c r="E187" s="3">
        <v>11</v>
      </c>
    </row>
    <row r="188" spans="1:5" x14ac:dyDescent="0.15">
      <c r="A188" s="2" t="s">
        <v>4</v>
      </c>
      <c r="B188" s="2" t="s">
        <v>0</v>
      </c>
      <c r="C188" s="2">
        <v>350</v>
      </c>
      <c r="D188" s="2" t="s">
        <v>34</v>
      </c>
      <c r="E188" s="3">
        <v>16</v>
      </c>
    </row>
    <row r="189" spans="1:5" x14ac:dyDescent="0.15">
      <c r="A189" s="2" t="s">
        <v>4</v>
      </c>
      <c r="B189" s="2" t="s">
        <v>0</v>
      </c>
      <c r="C189" s="2">
        <v>350</v>
      </c>
      <c r="D189" s="2" t="s">
        <v>29</v>
      </c>
      <c r="E189" s="3">
        <v>12.5</v>
      </c>
    </row>
    <row r="190" spans="1:5" x14ac:dyDescent="0.15">
      <c r="A190" s="2" t="s">
        <v>4</v>
      </c>
      <c r="B190" s="2" t="s">
        <v>0</v>
      </c>
      <c r="C190" s="2">
        <v>350</v>
      </c>
      <c r="D190" s="2" t="s">
        <v>30</v>
      </c>
      <c r="E190" s="3">
        <v>20</v>
      </c>
    </row>
    <row r="191" spans="1:5" x14ac:dyDescent="0.15">
      <c r="A191" s="2" t="s">
        <v>4</v>
      </c>
      <c r="B191" s="2" t="s">
        <v>0</v>
      </c>
      <c r="C191" s="2">
        <v>350</v>
      </c>
      <c r="D191" s="2" t="s">
        <v>35</v>
      </c>
      <c r="E191" s="3">
        <v>25</v>
      </c>
    </row>
    <row r="192" spans="1:5" x14ac:dyDescent="0.15">
      <c r="A192" s="2" t="s">
        <v>4</v>
      </c>
      <c r="B192" s="2" t="s">
        <v>0</v>
      </c>
      <c r="C192" s="2">
        <v>350</v>
      </c>
      <c r="D192" s="2" t="s">
        <v>32</v>
      </c>
      <c r="E192" s="3">
        <v>28</v>
      </c>
    </row>
    <row r="193" spans="1:5" x14ac:dyDescent="0.15">
      <c r="A193" s="2" t="s">
        <v>4</v>
      </c>
      <c r="B193" s="2" t="s">
        <v>0</v>
      </c>
      <c r="C193" s="2">
        <v>350</v>
      </c>
      <c r="D193" s="2" t="s">
        <v>18</v>
      </c>
      <c r="E193" s="3">
        <v>32</v>
      </c>
    </row>
    <row r="194" spans="1:5" x14ac:dyDescent="0.15">
      <c r="A194" s="2" t="s">
        <v>4</v>
      </c>
      <c r="B194" s="2" t="s">
        <v>0</v>
      </c>
      <c r="C194" s="2">
        <v>350</v>
      </c>
      <c r="D194" s="2" t="s">
        <v>19</v>
      </c>
      <c r="E194" s="3">
        <v>36</v>
      </c>
    </row>
    <row r="195" spans="1:5" x14ac:dyDescent="0.15">
      <c r="A195" s="2" t="s">
        <v>4</v>
      </c>
      <c r="B195" s="2" t="s">
        <v>0</v>
      </c>
      <c r="C195" s="2">
        <v>400</v>
      </c>
      <c r="D195" s="2" t="s">
        <v>23</v>
      </c>
      <c r="E195" s="3">
        <v>4</v>
      </c>
    </row>
    <row r="196" spans="1:5" x14ac:dyDescent="0.15">
      <c r="A196" s="2" t="s">
        <v>4</v>
      </c>
      <c r="B196" s="2" t="s">
        <v>0</v>
      </c>
      <c r="C196" s="2">
        <v>400</v>
      </c>
      <c r="D196" s="2" t="s">
        <v>24</v>
      </c>
      <c r="E196" s="3">
        <v>4</v>
      </c>
    </row>
    <row r="197" spans="1:5" x14ac:dyDescent="0.15">
      <c r="A197" s="2" t="s">
        <v>4</v>
      </c>
      <c r="B197" s="2" t="s">
        <v>0</v>
      </c>
      <c r="C197" s="2">
        <v>400</v>
      </c>
      <c r="D197" s="2" t="s">
        <v>25</v>
      </c>
      <c r="E197" s="3">
        <v>5</v>
      </c>
    </row>
    <row r="198" spans="1:5" x14ac:dyDescent="0.15">
      <c r="A198" s="2" t="s">
        <v>4</v>
      </c>
      <c r="B198" s="2" t="s">
        <v>0</v>
      </c>
      <c r="C198" s="2">
        <v>400</v>
      </c>
      <c r="D198" s="2" t="s">
        <v>26</v>
      </c>
      <c r="E198" s="3">
        <v>6.3</v>
      </c>
    </row>
    <row r="199" spans="1:5" x14ac:dyDescent="0.15">
      <c r="A199" s="2" t="s">
        <v>4</v>
      </c>
      <c r="B199" s="2" t="s">
        <v>0</v>
      </c>
      <c r="C199" s="2">
        <v>400</v>
      </c>
      <c r="D199" s="2" t="s">
        <v>33</v>
      </c>
      <c r="E199" s="3">
        <v>8</v>
      </c>
    </row>
    <row r="200" spans="1:5" x14ac:dyDescent="0.15">
      <c r="A200" s="2" t="s">
        <v>4</v>
      </c>
      <c r="B200" s="2" t="s">
        <v>0</v>
      </c>
      <c r="C200" s="2">
        <v>400</v>
      </c>
      <c r="D200" s="2" t="s">
        <v>12</v>
      </c>
      <c r="E200" s="3">
        <v>10</v>
      </c>
    </row>
    <row r="201" spans="1:5" x14ac:dyDescent="0.15">
      <c r="A201" s="2" t="s">
        <v>4</v>
      </c>
      <c r="B201" s="2" t="s">
        <v>0</v>
      </c>
      <c r="C201" s="2">
        <v>400</v>
      </c>
      <c r="D201" s="2" t="s">
        <v>27</v>
      </c>
      <c r="E201" s="3">
        <v>10</v>
      </c>
    </row>
    <row r="202" spans="1:5" x14ac:dyDescent="0.15">
      <c r="A202" s="2" t="s">
        <v>4</v>
      </c>
      <c r="B202" s="2" t="s">
        <v>0</v>
      </c>
      <c r="C202" s="2">
        <v>400</v>
      </c>
      <c r="D202" s="2" t="s">
        <v>28</v>
      </c>
      <c r="E202" s="3">
        <v>12.5</v>
      </c>
    </row>
    <row r="203" spans="1:5" x14ac:dyDescent="0.15">
      <c r="A203" s="2" t="s">
        <v>4</v>
      </c>
      <c r="B203" s="2" t="s">
        <v>0</v>
      </c>
      <c r="C203" s="2">
        <v>400</v>
      </c>
      <c r="D203" s="2" t="s">
        <v>34</v>
      </c>
      <c r="E203" s="3">
        <v>17.5</v>
      </c>
    </row>
    <row r="204" spans="1:5" x14ac:dyDescent="0.15">
      <c r="A204" s="2" t="s">
        <v>4</v>
      </c>
      <c r="B204" s="2" t="s">
        <v>0</v>
      </c>
      <c r="C204" s="2">
        <v>400</v>
      </c>
      <c r="D204" s="2" t="s">
        <v>29</v>
      </c>
      <c r="E204" s="3">
        <v>12.5</v>
      </c>
    </row>
    <row r="205" spans="1:5" x14ac:dyDescent="0.15">
      <c r="A205" s="2" t="s">
        <v>4</v>
      </c>
      <c r="B205" s="2" t="s">
        <v>0</v>
      </c>
      <c r="C205" s="2">
        <v>400</v>
      </c>
      <c r="D205" s="2" t="s">
        <v>30</v>
      </c>
      <c r="E205" s="3">
        <v>22.2</v>
      </c>
    </row>
    <row r="206" spans="1:5" x14ac:dyDescent="0.15">
      <c r="A206" s="2" t="s">
        <v>4</v>
      </c>
      <c r="B206" s="2" t="s">
        <v>0</v>
      </c>
      <c r="C206" s="2">
        <v>400</v>
      </c>
      <c r="D206" s="2" t="s">
        <v>35</v>
      </c>
      <c r="E206" s="3">
        <v>28</v>
      </c>
    </row>
    <row r="207" spans="1:5" x14ac:dyDescent="0.15">
      <c r="A207" s="2" t="s">
        <v>4</v>
      </c>
      <c r="B207" s="2" t="s">
        <v>0</v>
      </c>
      <c r="C207" s="2">
        <v>400</v>
      </c>
      <c r="D207" s="2" t="s">
        <v>32</v>
      </c>
      <c r="E207" s="3">
        <v>30</v>
      </c>
    </row>
    <row r="208" spans="1:5" x14ac:dyDescent="0.15">
      <c r="A208" s="2" t="s">
        <v>4</v>
      </c>
      <c r="B208" s="2" t="s">
        <v>0</v>
      </c>
      <c r="C208" s="2">
        <v>400</v>
      </c>
      <c r="D208" s="2" t="s">
        <v>18</v>
      </c>
      <c r="E208" s="3">
        <v>36</v>
      </c>
    </row>
    <row r="209" spans="1:5" x14ac:dyDescent="0.15">
      <c r="A209" s="2" t="s">
        <v>4</v>
      </c>
      <c r="B209" s="2" t="s">
        <v>0</v>
      </c>
      <c r="C209" s="2">
        <v>400</v>
      </c>
      <c r="D209" s="2" t="s">
        <v>19</v>
      </c>
      <c r="E209" s="3">
        <v>40</v>
      </c>
    </row>
    <row r="210" spans="1:5" x14ac:dyDescent="0.15">
      <c r="A210" s="2" t="s">
        <v>4</v>
      </c>
      <c r="B210" s="2" t="s">
        <v>0</v>
      </c>
      <c r="C210" s="2">
        <v>450</v>
      </c>
      <c r="D210" s="2" t="s">
        <v>23</v>
      </c>
      <c r="E210" s="3">
        <v>4</v>
      </c>
    </row>
    <row r="211" spans="1:5" x14ac:dyDescent="0.15">
      <c r="A211" s="2" t="s">
        <v>4</v>
      </c>
      <c r="B211" s="2" t="s">
        <v>0</v>
      </c>
      <c r="C211" s="2">
        <v>450</v>
      </c>
      <c r="D211" s="2" t="s">
        <v>24</v>
      </c>
      <c r="E211" s="3">
        <v>4</v>
      </c>
    </row>
    <row r="212" spans="1:5" x14ac:dyDescent="0.15">
      <c r="A212" s="2" t="s">
        <v>4</v>
      </c>
      <c r="B212" s="2" t="s">
        <v>0</v>
      </c>
      <c r="C212" s="2">
        <v>450</v>
      </c>
      <c r="D212" s="2" t="s">
        <v>25</v>
      </c>
      <c r="E212" s="3">
        <v>5</v>
      </c>
    </row>
    <row r="213" spans="1:5" x14ac:dyDescent="0.15">
      <c r="A213" s="2" t="s">
        <v>4</v>
      </c>
      <c r="B213" s="2" t="s">
        <v>0</v>
      </c>
      <c r="C213" s="2">
        <v>450</v>
      </c>
      <c r="D213" s="2" t="s">
        <v>26</v>
      </c>
      <c r="E213" s="3">
        <v>6.3</v>
      </c>
    </row>
    <row r="214" spans="1:5" x14ac:dyDescent="0.15">
      <c r="A214" s="2" t="s">
        <v>4</v>
      </c>
      <c r="B214" s="2" t="s">
        <v>0</v>
      </c>
      <c r="C214" s="2">
        <v>450</v>
      </c>
      <c r="D214" s="2" t="s">
        <v>33</v>
      </c>
      <c r="E214" s="3">
        <v>8</v>
      </c>
    </row>
    <row r="215" spans="1:5" x14ac:dyDescent="0.15">
      <c r="A215" s="2" t="s">
        <v>4</v>
      </c>
      <c r="B215" s="2" t="s">
        <v>0</v>
      </c>
      <c r="C215" s="2">
        <v>450</v>
      </c>
      <c r="D215" s="2" t="s">
        <v>12</v>
      </c>
      <c r="E215" s="3">
        <v>10</v>
      </c>
    </row>
    <row r="216" spans="1:5" x14ac:dyDescent="0.15">
      <c r="A216" s="2" t="s">
        <v>4</v>
      </c>
      <c r="B216" s="2" t="s">
        <v>0</v>
      </c>
      <c r="C216" s="2">
        <v>450</v>
      </c>
      <c r="D216" s="2" t="s">
        <v>27</v>
      </c>
      <c r="E216" s="3">
        <v>11</v>
      </c>
    </row>
    <row r="217" spans="1:5" x14ac:dyDescent="0.15">
      <c r="A217" s="2" t="s">
        <v>4</v>
      </c>
      <c r="B217" s="2" t="s">
        <v>0</v>
      </c>
      <c r="C217" s="2">
        <v>450</v>
      </c>
      <c r="D217" s="2" t="s">
        <v>28</v>
      </c>
      <c r="E217" s="3">
        <v>14.2</v>
      </c>
    </row>
    <row r="218" spans="1:5" x14ac:dyDescent="0.15">
      <c r="A218" s="2" t="s">
        <v>4</v>
      </c>
      <c r="B218" s="2" t="s">
        <v>0</v>
      </c>
      <c r="C218" s="2">
        <v>450</v>
      </c>
      <c r="D218" s="2" t="s">
        <v>34</v>
      </c>
      <c r="E218" s="3">
        <v>20</v>
      </c>
    </row>
    <row r="219" spans="1:5" x14ac:dyDescent="0.15">
      <c r="A219" s="2" t="s">
        <v>4</v>
      </c>
      <c r="B219" s="2" t="s">
        <v>0</v>
      </c>
      <c r="C219" s="2">
        <v>450</v>
      </c>
      <c r="D219" s="2" t="s">
        <v>29</v>
      </c>
      <c r="E219" s="3">
        <v>12.5</v>
      </c>
    </row>
    <row r="220" spans="1:5" x14ac:dyDescent="0.15">
      <c r="A220" s="2" t="s">
        <v>4</v>
      </c>
      <c r="B220" s="2" t="s">
        <v>0</v>
      </c>
      <c r="C220" s="2">
        <v>450</v>
      </c>
      <c r="D220" s="2" t="s">
        <v>30</v>
      </c>
      <c r="E220" s="3">
        <v>25</v>
      </c>
    </row>
    <row r="221" spans="1:5" x14ac:dyDescent="0.15">
      <c r="A221" s="2" t="s">
        <v>4</v>
      </c>
      <c r="B221" s="2" t="s">
        <v>0</v>
      </c>
      <c r="C221" s="2">
        <v>450</v>
      </c>
      <c r="D221" s="2" t="s">
        <v>35</v>
      </c>
      <c r="E221" s="3">
        <v>30</v>
      </c>
    </row>
    <row r="222" spans="1:5" x14ac:dyDescent="0.15">
      <c r="A222" s="2" t="s">
        <v>4</v>
      </c>
      <c r="B222" s="2" t="s">
        <v>0</v>
      </c>
      <c r="C222" s="2">
        <v>450</v>
      </c>
      <c r="D222" s="2" t="s">
        <v>32</v>
      </c>
      <c r="E222" s="3">
        <v>36</v>
      </c>
    </row>
    <row r="223" spans="1:5" x14ac:dyDescent="0.15">
      <c r="A223" s="2" t="s">
        <v>4</v>
      </c>
      <c r="B223" s="2" t="s">
        <v>0</v>
      </c>
      <c r="C223" s="2">
        <v>450</v>
      </c>
      <c r="D223" s="2" t="s">
        <v>18</v>
      </c>
      <c r="E223" s="3">
        <v>40</v>
      </c>
    </row>
    <row r="224" spans="1:5" x14ac:dyDescent="0.15">
      <c r="A224" s="2" t="s">
        <v>4</v>
      </c>
      <c r="B224" s="2" t="s">
        <v>0</v>
      </c>
      <c r="C224" s="2">
        <v>450</v>
      </c>
      <c r="D224" s="2" t="s">
        <v>19</v>
      </c>
      <c r="E224" s="3">
        <v>45</v>
      </c>
    </row>
    <row r="225" spans="1:5" x14ac:dyDescent="0.15">
      <c r="A225" s="2" t="s">
        <v>4</v>
      </c>
      <c r="B225" s="2" t="s">
        <v>0</v>
      </c>
      <c r="C225" s="2">
        <v>500</v>
      </c>
      <c r="D225" s="2" t="s">
        <v>23</v>
      </c>
      <c r="E225" s="3">
        <v>5</v>
      </c>
    </row>
    <row r="226" spans="1:5" x14ac:dyDescent="0.15">
      <c r="A226" s="2" t="s">
        <v>4</v>
      </c>
      <c r="B226" s="2" t="s">
        <v>0</v>
      </c>
      <c r="C226" s="2">
        <v>500</v>
      </c>
      <c r="D226" s="2" t="s">
        <v>24</v>
      </c>
      <c r="E226" s="3">
        <v>5</v>
      </c>
    </row>
    <row r="227" spans="1:5" x14ac:dyDescent="0.15">
      <c r="A227" s="2" t="s">
        <v>4</v>
      </c>
      <c r="B227" s="2" t="s">
        <v>0</v>
      </c>
      <c r="C227" s="2">
        <v>500</v>
      </c>
      <c r="D227" s="2" t="s">
        <v>25</v>
      </c>
      <c r="E227" s="3">
        <v>5.6</v>
      </c>
    </row>
    <row r="228" spans="1:5" x14ac:dyDescent="0.15">
      <c r="A228" s="2" t="s">
        <v>4</v>
      </c>
      <c r="B228" s="2" t="s">
        <v>0</v>
      </c>
      <c r="C228" s="2">
        <v>500</v>
      </c>
      <c r="D228" s="2" t="s">
        <v>26</v>
      </c>
      <c r="E228" s="3">
        <v>6.3</v>
      </c>
    </row>
    <row r="229" spans="1:5" x14ac:dyDescent="0.15">
      <c r="A229" s="2" t="s">
        <v>4</v>
      </c>
      <c r="B229" s="2" t="s">
        <v>0</v>
      </c>
      <c r="C229" s="2">
        <v>500</v>
      </c>
      <c r="D229" s="2" t="s">
        <v>33</v>
      </c>
      <c r="E229" s="3">
        <v>10</v>
      </c>
    </row>
    <row r="230" spans="1:5" x14ac:dyDescent="0.15">
      <c r="A230" s="2" t="s">
        <v>4</v>
      </c>
      <c r="B230" s="2" t="s">
        <v>0</v>
      </c>
      <c r="C230" s="2">
        <v>500</v>
      </c>
      <c r="D230" s="2" t="s">
        <v>12</v>
      </c>
      <c r="E230" s="3">
        <v>12.5</v>
      </c>
    </row>
    <row r="231" spans="1:5" x14ac:dyDescent="0.15">
      <c r="A231" s="2" t="s">
        <v>4</v>
      </c>
      <c r="B231" s="2" t="s">
        <v>0</v>
      </c>
      <c r="C231" s="2">
        <v>500</v>
      </c>
      <c r="D231" s="2" t="s">
        <v>27</v>
      </c>
      <c r="E231" s="3">
        <v>10</v>
      </c>
    </row>
    <row r="232" spans="1:5" x14ac:dyDescent="0.15">
      <c r="A232" s="2" t="s">
        <v>4</v>
      </c>
      <c r="B232" s="2" t="s">
        <v>0</v>
      </c>
      <c r="C232" s="2">
        <v>500</v>
      </c>
      <c r="D232" s="2" t="s">
        <v>28</v>
      </c>
      <c r="E232" s="3">
        <v>16</v>
      </c>
    </row>
    <row r="233" spans="1:5" x14ac:dyDescent="0.15">
      <c r="A233" s="2" t="s">
        <v>4</v>
      </c>
      <c r="B233" s="2" t="s">
        <v>0</v>
      </c>
      <c r="C233" s="2">
        <v>500</v>
      </c>
      <c r="D233" s="2" t="s">
        <v>34</v>
      </c>
      <c r="E233" s="3">
        <v>20</v>
      </c>
    </row>
    <row r="234" spans="1:5" x14ac:dyDescent="0.15">
      <c r="A234" s="2" t="s">
        <v>4</v>
      </c>
      <c r="B234" s="2" t="s">
        <v>0</v>
      </c>
      <c r="C234" s="2">
        <v>500</v>
      </c>
      <c r="D234" s="2" t="s">
        <v>29</v>
      </c>
      <c r="E234" s="3">
        <v>12.5</v>
      </c>
    </row>
    <row r="235" spans="1:5" x14ac:dyDescent="0.15">
      <c r="A235" s="2" t="s">
        <v>4</v>
      </c>
      <c r="B235" s="2" t="s">
        <v>0</v>
      </c>
      <c r="C235" s="2">
        <v>500</v>
      </c>
      <c r="D235" s="2" t="s">
        <v>30</v>
      </c>
      <c r="E235" s="3">
        <v>28</v>
      </c>
    </row>
    <row r="236" spans="1:5" x14ac:dyDescent="0.15">
      <c r="A236" s="2" t="s">
        <v>4</v>
      </c>
      <c r="B236" s="2" t="s">
        <v>0</v>
      </c>
      <c r="C236" s="2">
        <v>500</v>
      </c>
      <c r="D236" s="2" t="s">
        <v>35</v>
      </c>
      <c r="E236" s="3">
        <v>32</v>
      </c>
    </row>
    <row r="237" spans="1:5" x14ac:dyDescent="0.15">
      <c r="A237" s="2" t="s">
        <v>4</v>
      </c>
      <c r="B237" s="2" t="s">
        <v>0</v>
      </c>
      <c r="C237" s="2">
        <v>500</v>
      </c>
      <c r="D237" s="2" t="s">
        <v>32</v>
      </c>
      <c r="E237" s="3">
        <v>40</v>
      </c>
    </row>
    <row r="238" spans="1:5" x14ac:dyDescent="0.15">
      <c r="A238" s="2" t="s">
        <v>4</v>
      </c>
      <c r="B238" s="2" t="s">
        <v>0</v>
      </c>
      <c r="C238" s="2">
        <v>500</v>
      </c>
      <c r="D238" s="2" t="s">
        <v>18</v>
      </c>
      <c r="E238" s="3">
        <v>45</v>
      </c>
    </row>
    <row r="239" spans="1:5" x14ac:dyDescent="0.15">
      <c r="A239" s="2" t="s">
        <v>4</v>
      </c>
      <c r="B239" s="2" t="s">
        <v>0</v>
      </c>
      <c r="C239" s="2">
        <v>500</v>
      </c>
      <c r="D239" s="2" t="s">
        <v>19</v>
      </c>
      <c r="E239" s="3">
        <v>50</v>
      </c>
    </row>
    <row r="240" spans="1:5" x14ac:dyDescent="0.15">
      <c r="A240" s="2" t="s">
        <v>4</v>
      </c>
      <c r="B240" s="2" t="s">
        <v>0</v>
      </c>
      <c r="C240" s="2">
        <v>550</v>
      </c>
      <c r="D240" s="2" t="s">
        <v>23</v>
      </c>
      <c r="E240" s="3">
        <v>5</v>
      </c>
    </row>
    <row r="241" spans="1:5" x14ac:dyDescent="0.15">
      <c r="A241" s="2" t="s">
        <v>4</v>
      </c>
      <c r="B241" s="2" t="s">
        <v>0</v>
      </c>
      <c r="C241" s="2">
        <v>550</v>
      </c>
      <c r="D241" s="2" t="s">
        <v>24</v>
      </c>
      <c r="E241" s="3">
        <v>5</v>
      </c>
    </row>
    <row r="242" spans="1:5" x14ac:dyDescent="0.15">
      <c r="A242" s="2" t="s">
        <v>4</v>
      </c>
      <c r="B242" s="2" t="s">
        <v>0</v>
      </c>
      <c r="C242" s="2">
        <v>550</v>
      </c>
      <c r="D242" s="2" t="s">
        <v>25</v>
      </c>
      <c r="E242" s="3">
        <v>5.6</v>
      </c>
    </row>
    <row r="243" spans="1:5" x14ac:dyDescent="0.15">
      <c r="A243" s="2" t="s">
        <v>4</v>
      </c>
      <c r="B243" s="2" t="s">
        <v>0</v>
      </c>
      <c r="C243" s="2">
        <v>550</v>
      </c>
      <c r="D243" s="2" t="s">
        <v>26</v>
      </c>
      <c r="E243" s="3">
        <v>6.3</v>
      </c>
    </row>
    <row r="244" spans="1:5" x14ac:dyDescent="0.15">
      <c r="A244" s="2" t="s">
        <v>4</v>
      </c>
      <c r="B244" s="2" t="s">
        <v>0</v>
      </c>
      <c r="C244" s="2">
        <v>550</v>
      </c>
      <c r="D244" s="2" t="s">
        <v>33</v>
      </c>
      <c r="E244" s="3">
        <v>10</v>
      </c>
    </row>
    <row r="245" spans="1:5" x14ac:dyDescent="0.15">
      <c r="A245" s="2" t="s">
        <v>4</v>
      </c>
      <c r="B245" s="2" t="s">
        <v>0</v>
      </c>
      <c r="C245" s="2">
        <v>550</v>
      </c>
      <c r="D245" s="2" t="s">
        <v>12</v>
      </c>
      <c r="E245" s="3">
        <v>12.5</v>
      </c>
    </row>
    <row r="246" spans="1:5" x14ac:dyDescent="0.15">
      <c r="A246" s="2" t="s">
        <v>4</v>
      </c>
      <c r="B246" s="2" t="s">
        <v>0</v>
      </c>
      <c r="C246" s="2">
        <v>550</v>
      </c>
      <c r="D246" s="2" t="s">
        <v>34</v>
      </c>
      <c r="E246" s="3">
        <v>22.2</v>
      </c>
    </row>
    <row r="247" spans="1:5" x14ac:dyDescent="0.15">
      <c r="A247" s="2" t="s">
        <v>4</v>
      </c>
      <c r="B247" s="2" t="s">
        <v>0</v>
      </c>
      <c r="C247" s="2">
        <v>550</v>
      </c>
      <c r="D247" s="2" t="s">
        <v>30</v>
      </c>
      <c r="E247" s="3">
        <v>28</v>
      </c>
    </row>
    <row r="248" spans="1:5" x14ac:dyDescent="0.15">
      <c r="A248" s="2" t="s">
        <v>4</v>
      </c>
      <c r="B248" s="2" t="s">
        <v>0</v>
      </c>
      <c r="C248" s="2">
        <v>550</v>
      </c>
      <c r="D248" s="2" t="s">
        <v>35</v>
      </c>
      <c r="E248" s="3">
        <v>36</v>
      </c>
    </row>
    <row r="249" spans="1:5" x14ac:dyDescent="0.15">
      <c r="A249" s="2" t="s">
        <v>4</v>
      </c>
      <c r="B249" s="2" t="s">
        <v>0</v>
      </c>
      <c r="C249" s="2">
        <v>550</v>
      </c>
      <c r="D249" s="2" t="s">
        <v>32</v>
      </c>
      <c r="E249" s="3">
        <v>40</v>
      </c>
    </row>
    <row r="250" spans="1:5" x14ac:dyDescent="0.15">
      <c r="A250" s="2" t="s">
        <v>4</v>
      </c>
      <c r="B250" s="2" t="s">
        <v>0</v>
      </c>
      <c r="C250" s="2">
        <v>550</v>
      </c>
      <c r="D250" s="2" t="s">
        <v>18</v>
      </c>
      <c r="E250" s="3">
        <v>50</v>
      </c>
    </row>
    <row r="251" spans="1:5" x14ac:dyDescent="0.15">
      <c r="A251" s="2" t="s">
        <v>4</v>
      </c>
      <c r="B251" s="2" t="s">
        <v>0</v>
      </c>
      <c r="C251" s="2">
        <v>550</v>
      </c>
      <c r="D251" s="2" t="s">
        <v>19</v>
      </c>
      <c r="E251" s="3">
        <v>55</v>
      </c>
    </row>
    <row r="252" spans="1:5" x14ac:dyDescent="0.15">
      <c r="A252" s="2" t="s">
        <v>4</v>
      </c>
      <c r="B252" s="2" t="s">
        <v>0</v>
      </c>
      <c r="C252" s="2">
        <v>600</v>
      </c>
      <c r="D252" s="2" t="s">
        <v>23</v>
      </c>
      <c r="E252" s="3">
        <v>5.6</v>
      </c>
    </row>
    <row r="253" spans="1:5" x14ac:dyDescent="0.15">
      <c r="A253" s="2" t="s">
        <v>4</v>
      </c>
      <c r="B253" s="2" t="s">
        <v>0</v>
      </c>
      <c r="C253" s="2">
        <v>600</v>
      </c>
      <c r="D253" s="2" t="s">
        <v>24</v>
      </c>
      <c r="E253" s="3">
        <v>5.6</v>
      </c>
    </row>
    <row r="254" spans="1:5" x14ac:dyDescent="0.15">
      <c r="A254" s="2" t="s">
        <v>4</v>
      </c>
      <c r="B254" s="2" t="s">
        <v>0</v>
      </c>
      <c r="C254" s="2">
        <v>600</v>
      </c>
      <c r="D254" s="2" t="s">
        <v>25</v>
      </c>
      <c r="E254" s="3">
        <v>6.3</v>
      </c>
    </row>
    <row r="255" spans="1:5" x14ac:dyDescent="0.15">
      <c r="A255" s="2" t="s">
        <v>4</v>
      </c>
      <c r="B255" s="2" t="s">
        <v>0</v>
      </c>
      <c r="C255" s="2">
        <v>600</v>
      </c>
      <c r="D255" s="2" t="s">
        <v>26</v>
      </c>
      <c r="E255" s="3">
        <v>6.3</v>
      </c>
    </row>
    <row r="256" spans="1:5" x14ac:dyDescent="0.15">
      <c r="A256" s="2" t="s">
        <v>4</v>
      </c>
      <c r="B256" s="2" t="s">
        <v>0</v>
      </c>
      <c r="C256" s="2">
        <v>600</v>
      </c>
      <c r="D256" s="2" t="s">
        <v>33</v>
      </c>
      <c r="E256" s="3">
        <v>10</v>
      </c>
    </row>
    <row r="257" spans="1:5" x14ac:dyDescent="0.15">
      <c r="A257" s="2" t="s">
        <v>4</v>
      </c>
      <c r="B257" s="2" t="s">
        <v>0</v>
      </c>
      <c r="C257" s="2">
        <v>600</v>
      </c>
      <c r="D257" s="2" t="s">
        <v>12</v>
      </c>
      <c r="E257" s="3">
        <v>14.2</v>
      </c>
    </row>
    <row r="258" spans="1:5" x14ac:dyDescent="0.15">
      <c r="A258" s="2" t="s">
        <v>4</v>
      </c>
      <c r="B258" s="2" t="s">
        <v>0</v>
      </c>
      <c r="C258" s="2">
        <v>600</v>
      </c>
      <c r="D258" s="2" t="s">
        <v>27</v>
      </c>
      <c r="E258" s="3">
        <v>10</v>
      </c>
    </row>
    <row r="259" spans="1:5" x14ac:dyDescent="0.15">
      <c r="A259" s="2" t="s">
        <v>4</v>
      </c>
      <c r="B259" s="2" t="s">
        <v>0</v>
      </c>
      <c r="C259" s="2">
        <v>600</v>
      </c>
      <c r="D259" s="2" t="s">
        <v>28</v>
      </c>
      <c r="E259" s="3">
        <v>17.5</v>
      </c>
    </row>
    <row r="260" spans="1:5" x14ac:dyDescent="0.15">
      <c r="A260" s="2" t="s">
        <v>4</v>
      </c>
      <c r="B260" s="2" t="s">
        <v>0</v>
      </c>
      <c r="C260" s="2">
        <v>600</v>
      </c>
      <c r="D260" s="2" t="s">
        <v>34</v>
      </c>
      <c r="E260" s="3">
        <v>25</v>
      </c>
    </row>
    <row r="261" spans="1:5" x14ac:dyDescent="0.15">
      <c r="A261" s="2" t="s">
        <v>4</v>
      </c>
      <c r="B261" s="2" t="s">
        <v>0</v>
      </c>
      <c r="C261" s="2">
        <v>600</v>
      </c>
      <c r="D261" s="2" t="s">
        <v>29</v>
      </c>
      <c r="E261" s="3">
        <v>12.5</v>
      </c>
    </row>
    <row r="262" spans="1:5" x14ac:dyDescent="0.15">
      <c r="A262" s="2" t="s">
        <v>4</v>
      </c>
      <c r="B262" s="2" t="s">
        <v>0</v>
      </c>
      <c r="C262" s="2">
        <v>600</v>
      </c>
      <c r="D262" s="2" t="s">
        <v>30</v>
      </c>
      <c r="E262" s="3">
        <v>32</v>
      </c>
    </row>
    <row r="263" spans="1:5" x14ac:dyDescent="0.15">
      <c r="A263" s="2" t="s">
        <v>4</v>
      </c>
      <c r="B263" s="2" t="s">
        <v>0</v>
      </c>
      <c r="C263" s="2">
        <v>600</v>
      </c>
      <c r="D263" s="2" t="s">
        <v>35</v>
      </c>
      <c r="E263" s="3">
        <v>40</v>
      </c>
    </row>
    <row r="264" spans="1:5" x14ac:dyDescent="0.15">
      <c r="A264" s="2" t="s">
        <v>4</v>
      </c>
      <c r="B264" s="2" t="s">
        <v>0</v>
      </c>
      <c r="C264" s="2">
        <v>600</v>
      </c>
      <c r="D264" s="2" t="s">
        <v>32</v>
      </c>
      <c r="E264" s="3">
        <v>45</v>
      </c>
    </row>
    <row r="265" spans="1:5" x14ac:dyDescent="0.15">
      <c r="A265" s="2" t="s">
        <v>4</v>
      </c>
      <c r="B265" s="2" t="s">
        <v>0</v>
      </c>
      <c r="C265" s="2">
        <v>600</v>
      </c>
      <c r="D265" s="2" t="s">
        <v>18</v>
      </c>
      <c r="E265" s="3">
        <v>55</v>
      </c>
    </row>
    <row r="266" spans="1:5" x14ac:dyDescent="0.15">
      <c r="A266" s="2" t="s">
        <v>4</v>
      </c>
      <c r="B266" s="2" t="s">
        <v>0</v>
      </c>
      <c r="C266" s="2">
        <v>600</v>
      </c>
      <c r="D266" s="2" t="s">
        <v>19</v>
      </c>
      <c r="E266" s="3">
        <v>60</v>
      </c>
    </row>
    <row r="267" spans="1:5" x14ac:dyDescent="0.15">
      <c r="A267" s="2" t="s">
        <v>4</v>
      </c>
      <c r="B267" s="2" t="s">
        <v>0</v>
      </c>
      <c r="C267" s="2">
        <v>650</v>
      </c>
      <c r="D267" s="4" t="s">
        <v>100</v>
      </c>
      <c r="E267" s="3">
        <v>6.3</v>
      </c>
    </row>
    <row r="268" spans="1:5" x14ac:dyDescent="0.15">
      <c r="A268" s="2" t="s">
        <v>4</v>
      </c>
      <c r="B268" s="2" t="s">
        <v>0</v>
      </c>
      <c r="C268" s="2">
        <v>650</v>
      </c>
      <c r="D268" s="4" t="s">
        <v>101</v>
      </c>
      <c r="E268" s="3">
        <v>7.1</v>
      </c>
    </row>
    <row r="269" spans="1:5" x14ac:dyDescent="0.15">
      <c r="A269" s="2" t="s">
        <v>4</v>
      </c>
      <c r="B269" s="2" t="s">
        <v>0</v>
      </c>
      <c r="C269" s="2">
        <v>650</v>
      </c>
      <c r="D269" s="4" t="s">
        <v>102</v>
      </c>
      <c r="E269" s="3">
        <v>8</v>
      </c>
    </row>
    <row r="270" spans="1:5" x14ac:dyDescent="0.15">
      <c r="A270" s="2" t="s">
        <v>4</v>
      </c>
      <c r="B270" s="2" t="s">
        <v>0</v>
      </c>
      <c r="C270" s="2">
        <v>650</v>
      </c>
      <c r="D270" s="4" t="s">
        <v>103</v>
      </c>
      <c r="E270" s="3">
        <v>8.8000000000000007</v>
      </c>
    </row>
    <row r="271" spans="1:5" x14ac:dyDescent="0.15">
      <c r="A271" s="2" t="s">
        <v>4</v>
      </c>
      <c r="B271" s="2" t="s">
        <v>0</v>
      </c>
      <c r="C271" s="2">
        <v>650</v>
      </c>
      <c r="D271" s="4" t="s">
        <v>104</v>
      </c>
      <c r="E271" s="3">
        <v>10</v>
      </c>
    </row>
    <row r="272" spans="1:5" x14ac:dyDescent="0.15">
      <c r="A272" s="2" t="s">
        <v>4</v>
      </c>
      <c r="B272" s="2" t="s">
        <v>0</v>
      </c>
      <c r="C272" s="2">
        <v>650</v>
      </c>
      <c r="D272" s="4" t="s">
        <v>105</v>
      </c>
      <c r="E272" s="3">
        <v>11</v>
      </c>
    </row>
    <row r="273" spans="1:5" x14ac:dyDescent="0.15">
      <c r="A273" s="2" t="s">
        <v>4</v>
      </c>
      <c r="B273" s="2" t="s">
        <v>0</v>
      </c>
      <c r="C273" s="2">
        <v>650</v>
      </c>
      <c r="D273" s="4" t="s">
        <v>106</v>
      </c>
      <c r="E273" s="3">
        <v>12.5</v>
      </c>
    </row>
    <row r="274" spans="1:5" x14ac:dyDescent="0.15">
      <c r="A274" s="2" t="s">
        <v>4</v>
      </c>
      <c r="B274" s="2" t="s">
        <v>0</v>
      </c>
      <c r="C274" s="2">
        <v>650</v>
      </c>
      <c r="D274" s="4" t="s">
        <v>107</v>
      </c>
      <c r="E274" s="3">
        <v>14.2</v>
      </c>
    </row>
    <row r="275" spans="1:5" x14ac:dyDescent="0.15">
      <c r="A275" s="2" t="s">
        <v>4</v>
      </c>
      <c r="B275" s="2" t="s">
        <v>0</v>
      </c>
      <c r="C275" s="2">
        <v>650</v>
      </c>
      <c r="D275" s="4" t="s">
        <v>108</v>
      </c>
      <c r="E275" s="3">
        <v>16</v>
      </c>
    </row>
    <row r="276" spans="1:5" x14ac:dyDescent="0.15">
      <c r="A276" s="2" t="s">
        <v>4</v>
      </c>
      <c r="B276" s="2" t="s">
        <v>0</v>
      </c>
      <c r="C276" s="2">
        <v>650</v>
      </c>
      <c r="D276" s="4" t="s">
        <v>109</v>
      </c>
      <c r="E276" s="3">
        <v>17.5</v>
      </c>
    </row>
    <row r="277" spans="1:5" x14ac:dyDescent="0.15">
      <c r="A277" s="2" t="s">
        <v>4</v>
      </c>
      <c r="B277" s="2" t="s">
        <v>0</v>
      </c>
      <c r="C277" s="2">
        <v>650</v>
      </c>
      <c r="D277" s="4" t="s">
        <v>110</v>
      </c>
      <c r="E277" s="3">
        <v>20</v>
      </c>
    </row>
    <row r="278" spans="1:5" x14ac:dyDescent="0.15">
      <c r="A278" s="2" t="s">
        <v>4</v>
      </c>
      <c r="B278" s="2" t="s">
        <v>0</v>
      </c>
      <c r="C278" s="2">
        <v>700</v>
      </c>
      <c r="D278" s="4" t="s">
        <v>100</v>
      </c>
      <c r="E278" s="3">
        <v>6.3</v>
      </c>
    </row>
    <row r="279" spans="1:5" x14ac:dyDescent="0.15">
      <c r="A279" s="2" t="s">
        <v>4</v>
      </c>
      <c r="B279" s="2" t="s">
        <v>0</v>
      </c>
      <c r="C279" s="2">
        <v>700</v>
      </c>
      <c r="D279" s="4" t="s">
        <v>101</v>
      </c>
      <c r="E279" s="3">
        <v>7.1</v>
      </c>
    </row>
    <row r="280" spans="1:5" x14ac:dyDescent="0.15">
      <c r="A280" s="2" t="s">
        <v>4</v>
      </c>
      <c r="B280" s="2" t="s">
        <v>0</v>
      </c>
      <c r="C280" s="2">
        <v>700</v>
      </c>
      <c r="D280" s="4" t="s">
        <v>102</v>
      </c>
      <c r="E280" s="3">
        <v>8</v>
      </c>
    </row>
    <row r="281" spans="1:5" x14ac:dyDescent="0.15">
      <c r="A281" s="2" t="s">
        <v>4</v>
      </c>
      <c r="B281" s="2" t="s">
        <v>0</v>
      </c>
      <c r="C281" s="2">
        <v>700</v>
      </c>
      <c r="D281" s="4" t="s">
        <v>103</v>
      </c>
      <c r="E281" s="3">
        <v>8.8000000000000007</v>
      </c>
    </row>
    <row r="282" spans="1:5" x14ac:dyDescent="0.15">
      <c r="A282" s="2" t="s">
        <v>4</v>
      </c>
      <c r="B282" s="2" t="s">
        <v>0</v>
      </c>
      <c r="C282" s="2">
        <v>700</v>
      </c>
      <c r="D282" s="4" t="s">
        <v>104</v>
      </c>
      <c r="E282" s="3">
        <v>10</v>
      </c>
    </row>
    <row r="283" spans="1:5" x14ac:dyDescent="0.15">
      <c r="A283" s="2" t="s">
        <v>4</v>
      </c>
      <c r="B283" s="2" t="s">
        <v>0</v>
      </c>
      <c r="C283" s="2">
        <v>700</v>
      </c>
      <c r="D283" s="4" t="s">
        <v>105</v>
      </c>
      <c r="E283" s="3">
        <v>11</v>
      </c>
    </row>
    <row r="284" spans="1:5" x14ac:dyDescent="0.15">
      <c r="A284" s="2" t="s">
        <v>4</v>
      </c>
      <c r="B284" s="2" t="s">
        <v>0</v>
      </c>
      <c r="C284" s="2">
        <v>700</v>
      </c>
      <c r="D284" s="4" t="s">
        <v>106</v>
      </c>
      <c r="E284" s="3">
        <v>12.5</v>
      </c>
    </row>
    <row r="285" spans="1:5" x14ac:dyDescent="0.15">
      <c r="A285" s="2" t="s">
        <v>4</v>
      </c>
      <c r="B285" s="2" t="s">
        <v>0</v>
      </c>
      <c r="C285" s="2">
        <v>700</v>
      </c>
      <c r="D285" s="4" t="s">
        <v>107</v>
      </c>
      <c r="E285" s="3">
        <v>14.2</v>
      </c>
    </row>
    <row r="286" spans="1:5" x14ac:dyDescent="0.15">
      <c r="A286" s="2" t="s">
        <v>4</v>
      </c>
      <c r="B286" s="2" t="s">
        <v>0</v>
      </c>
      <c r="C286" s="2">
        <v>700</v>
      </c>
      <c r="D286" s="4" t="s">
        <v>108</v>
      </c>
      <c r="E286" s="3">
        <v>16</v>
      </c>
    </row>
    <row r="287" spans="1:5" x14ac:dyDescent="0.15">
      <c r="A287" s="2" t="s">
        <v>4</v>
      </c>
      <c r="B287" s="2" t="s">
        <v>0</v>
      </c>
      <c r="C287" s="2">
        <v>700</v>
      </c>
      <c r="D287" s="4" t="s">
        <v>109</v>
      </c>
      <c r="E287" s="3">
        <v>17.5</v>
      </c>
    </row>
    <row r="288" spans="1:5" x14ac:dyDescent="0.15">
      <c r="A288" s="2" t="s">
        <v>4</v>
      </c>
      <c r="B288" s="2" t="s">
        <v>0</v>
      </c>
      <c r="C288" s="2">
        <v>700</v>
      </c>
      <c r="D288" s="4" t="s">
        <v>110</v>
      </c>
      <c r="E288" s="3">
        <v>20</v>
      </c>
    </row>
    <row r="289" spans="1:5" x14ac:dyDescent="0.15">
      <c r="A289" s="2" t="s">
        <v>4</v>
      </c>
      <c r="B289" s="2" t="s">
        <v>0</v>
      </c>
      <c r="C289" s="2">
        <v>750</v>
      </c>
      <c r="D289" s="4" t="s">
        <v>100</v>
      </c>
      <c r="E289" s="3">
        <v>6.3</v>
      </c>
    </row>
    <row r="290" spans="1:5" x14ac:dyDescent="0.15">
      <c r="A290" s="2" t="s">
        <v>4</v>
      </c>
      <c r="B290" s="2" t="s">
        <v>0</v>
      </c>
      <c r="C290" s="2">
        <v>750</v>
      </c>
      <c r="D290" s="4" t="s">
        <v>101</v>
      </c>
      <c r="E290" s="3">
        <v>7.1</v>
      </c>
    </row>
    <row r="291" spans="1:5" x14ac:dyDescent="0.15">
      <c r="A291" s="2" t="s">
        <v>4</v>
      </c>
      <c r="B291" s="2" t="s">
        <v>0</v>
      </c>
      <c r="C291" s="2">
        <v>750</v>
      </c>
      <c r="D291" s="4" t="s">
        <v>102</v>
      </c>
      <c r="E291" s="3">
        <v>8</v>
      </c>
    </row>
    <row r="292" spans="1:5" x14ac:dyDescent="0.15">
      <c r="A292" s="2" t="s">
        <v>4</v>
      </c>
      <c r="B292" s="2" t="s">
        <v>0</v>
      </c>
      <c r="C292" s="2">
        <v>750</v>
      </c>
      <c r="D292" s="4" t="s">
        <v>103</v>
      </c>
      <c r="E292" s="3">
        <v>8.8000000000000007</v>
      </c>
    </row>
    <row r="293" spans="1:5" x14ac:dyDescent="0.15">
      <c r="A293" s="2" t="s">
        <v>4</v>
      </c>
      <c r="B293" s="2" t="s">
        <v>0</v>
      </c>
      <c r="C293" s="2">
        <v>750</v>
      </c>
      <c r="D293" s="4" t="s">
        <v>104</v>
      </c>
      <c r="E293" s="3">
        <v>10</v>
      </c>
    </row>
    <row r="294" spans="1:5" x14ac:dyDescent="0.15">
      <c r="A294" s="2" t="s">
        <v>4</v>
      </c>
      <c r="B294" s="2" t="s">
        <v>0</v>
      </c>
      <c r="C294" s="2">
        <v>750</v>
      </c>
      <c r="D294" s="4" t="s">
        <v>105</v>
      </c>
      <c r="E294" s="3">
        <v>11</v>
      </c>
    </row>
    <row r="295" spans="1:5" x14ac:dyDescent="0.15">
      <c r="A295" s="2" t="s">
        <v>4</v>
      </c>
      <c r="B295" s="2" t="s">
        <v>0</v>
      </c>
      <c r="C295" s="2">
        <v>750</v>
      </c>
      <c r="D295" s="4" t="s">
        <v>106</v>
      </c>
      <c r="E295" s="3">
        <v>12.5</v>
      </c>
    </row>
    <row r="296" spans="1:5" x14ac:dyDescent="0.15">
      <c r="A296" s="2" t="s">
        <v>4</v>
      </c>
      <c r="B296" s="2" t="s">
        <v>0</v>
      </c>
      <c r="C296" s="2">
        <v>750</v>
      </c>
      <c r="D296" s="4" t="s">
        <v>107</v>
      </c>
      <c r="E296" s="3">
        <v>14.2</v>
      </c>
    </row>
    <row r="297" spans="1:5" x14ac:dyDescent="0.15">
      <c r="A297" s="2" t="s">
        <v>4</v>
      </c>
      <c r="B297" s="2" t="s">
        <v>0</v>
      </c>
      <c r="C297" s="2">
        <v>750</v>
      </c>
      <c r="D297" s="4" t="s">
        <v>108</v>
      </c>
      <c r="E297" s="3">
        <v>16</v>
      </c>
    </row>
    <row r="298" spans="1:5" x14ac:dyDescent="0.15">
      <c r="A298" s="2" t="s">
        <v>4</v>
      </c>
      <c r="B298" s="2" t="s">
        <v>0</v>
      </c>
      <c r="C298" s="2">
        <v>750</v>
      </c>
      <c r="D298" s="4" t="s">
        <v>109</v>
      </c>
      <c r="E298" s="3">
        <v>17.5</v>
      </c>
    </row>
    <row r="299" spans="1:5" x14ac:dyDescent="0.15">
      <c r="A299" s="2" t="s">
        <v>4</v>
      </c>
      <c r="B299" s="2" t="s">
        <v>0</v>
      </c>
      <c r="C299" s="2">
        <v>750</v>
      </c>
      <c r="D299" s="4" t="s">
        <v>110</v>
      </c>
      <c r="E299" s="3">
        <v>20</v>
      </c>
    </row>
    <row r="300" spans="1:5" x14ac:dyDescent="0.15">
      <c r="A300" s="2" t="s">
        <v>4</v>
      </c>
      <c r="B300" s="2" t="s">
        <v>0</v>
      </c>
      <c r="C300" s="2">
        <v>800</v>
      </c>
      <c r="D300" s="4" t="s">
        <v>100</v>
      </c>
      <c r="E300" s="3">
        <v>6.3</v>
      </c>
    </row>
    <row r="301" spans="1:5" x14ac:dyDescent="0.15">
      <c r="A301" s="2" t="s">
        <v>4</v>
      </c>
      <c r="B301" s="2" t="s">
        <v>0</v>
      </c>
      <c r="C301" s="2">
        <v>800</v>
      </c>
      <c r="D301" s="4" t="s">
        <v>101</v>
      </c>
      <c r="E301" s="3">
        <v>7.1</v>
      </c>
    </row>
    <row r="302" spans="1:5" x14ac:dyDescent="0.15">
      <c r="A302" s="2" t="s">
        <v>4</v>
      </c>
      <c r="B302" s="2" t="s">
        <v>0</v>
      </c>
      <c r="C302" s="2">
        <v>800</v>
      </c>
      <c r="D302" s="4" t="s">
        <v>102</v>
      </c>
      <c r="E302" s="3">
        <v>8</v>
      </c>
    </row>
    <row r="303" spans="1:5" x14ac:dyDescent="0.15">
      <c r="A303" s="2" t="s">
        <v>4</v>
      </c>
      <c r="B303" s="2" t="s">
        <v>0</v>
      </c>
      <c r="C303" s="2">
        <v>800</v>
      </c>
      <c r="D303" s="4" t="s">
        <v>103</v>
      </c>
      <c r="E303" s="3">
        <v>8.8000000000000007</v>
      </c>
    </row>
    <row r="304" spans="1:5" x14ac:dyDescent="0.15">
      <c r="A304" s="2" t="s">
        <v>4</v>
      </c>
      <c r="B304" s="2" t="s">
        <v>0</v>
      </c>
      <c r="C304" s="2">
        <v>800</v>
      </c>
      <c r="D304" s="4" t="s">
        <v>104</v>
      </c>
      <c r="E304" s="3">
        <v>10</v>
      </c>
    </row>
    <row r="305" spans="1:5" x14ac:dyDescent="0.15">
      <c r="A305" s="2" t="s">
        <v>4</v>
      </c>
      <c r="B305" s="2" t="s">
        <v>0</v>
      </c>
      <c r="C305" s="2">
        <v>800</v>
      </c>
      <c r="D305" s="4" t="s">
        <v>105</v>
      </c>
      <c r="E305" s="3">
        <v>11</v>
      </c>
    </row>
    <row r="306" spans="1:5" x14ac:dyDescent="0.15">
      <c r="A306" s="2" t="s">
        <v>4</v>
      </c>
      <c r="B306" s="2" t="s">
        <v>0</v>
      </c>
      <c r="C306" s="2">
        <v>800</v>
      </c>
      <c r="D306" s="4" t="s">
        <v>106</v>
      </c>
      <c r="E306" s="3">
        <v>12.5</v>
      </c>
    </row>
    <row r="307" spans="1:5" x14ac:dyDescent="0.15">
      <c r="A307" s="2" t="s">
        <v>4</v>
      </c>
      <c r="B307" s="2" t="s">
        <v>0</v>
      </c>
      <c r="C307" s="2">
        <v>800</v>
      </c>
      <c r="D307" s="4" t="s">
        <v>107</v>
      </c>
      <c r="E307" s="3">
        <v>14.2</v>
      </c>
    </row>
    <row r="308" spans="1:5" x14ac:dyDescent="0.15">
      <c r="A308" s="2" t="s">
        <v>4</v>
      </c>
      <c r="B308" s="2" t="s">
        <v>0</v>
      </c>
      <c r="C308" s="2">
        <v>800</v>
      </c>
      <c r="D308" s="4" t="s">
        <v>108</v>
      </c>
      <c r="E308" s="3">
        <v>16</v>
      </c>
    </row>
    <row r="309" spans="1:5" x14ac:dyDescent="0.15">
      <c r="A309" s="2" t="s">
        <v>4</v>
      </c>
      <c r="B309" s="2" t="s">
        <v>0</v>
      </c>
      <c r="C309" s="2">
        <v>800</v>
      </c>
      <c r="D309" s="4" t="s">
        <v>109</v>
      </c>
      <c r="E309" s="3">
        <v>17.5</v>
      </c>
    </row>
    <row r="310" spans="1:5" x14ac:dyDescent="0.15">
      <c r="A310" s="2" t="s">
        <v>4</v>
      </c>
      <c r="B310" s="2" t="s">
        <v>0</v>
      </c>
      <c r="C310" s="2">
        <v>800</v>
      </c>
      <c r="D310" s="4" t="s">
        <v>110</v>
      </c>
      <c r="E310" s="3">
        <v>20</v>
      </c>
    </row>
    <row r="311" spans="1:5" x14ac:dyDescent="0.15">
      <c r="A311" s="2" t="s">
        <v>4</v>
      </c>
      <c r="B311" s="2" t="s">
        <v>0</v>
      </c>
      <c r="C311" s="2">
        <v>850</v>
      </c>
      <c r="D311" s="4" t="s">
        <v>100</v>
      </c>
      <c r="E311" s="3">
        <v>6.3</v>
      </c>
    </row>
    <row r="312" spans="1:5" x14ac:dyDescent="0.15">
      <c r="A312" s="2" t="s">
        <v>4</v>
      </c>
      <c r="B312" s="2" t="s">
        <v>0</v>
      </c>
      <c r="C312" s="2">
        <v>850</v>
      </c>
      <c r="D312" s="4" t="s">
        <v>101</v>
      </c>
      <c r="E312" s="3">
        <v>7.1</v>
      </c>
    </row>
    <row r="313" spans="1:5" x14ac:dyDescent="0.15">
      <c r="A313" s="2" t="s">
        <v>4</v>
      </c>
      <c r="B313" s="2" t="s">
        <v>0</v>
      </c>
      <c r="C313" s="2">
        <v>850</v>
      </c>
      <c r="D313" s="4" t="s">
        <v>102</v>
      </c>
      <c r="E313" s="3">
        <v>8</v>
      </c>
    </row>
    <row r="314" spans="1:5" x14ac:dyDescent="0.15">
      <c r="A314" s="2" t="s">
        <v>4</v>
      </c>
      <c r="B314" s="2" t="s">
        <v>0</v>
      </c>
      <c r="C314" s="2">
        <v>850</v>
      </c>
      <c r="D314" s="4" t="s">
        <v>103</v>
      </c>
      <c r="E314" s="3">
        <v>8.8000000000000007</v>
      </c>
    </row>
    <row r="315" spans="1:5" x14ac:dyDescent="0.15">
      <c r="A315" s="2" t="s">
        <v>4</v>
      </c>
      <c r="B315" s="2" t="s">
        <v>0</v>
      </c>
      <c r="C315" s="2">
        <v>850</v>
      </c>
      <c r="D315" s="4" t="s">
        <v>104</v>
      </c>
      <c r="E315" s="3">
        <v>10</v>
      </c>
    </row>
    <row r="316" spans="1:5" x14ac:dyDescent="0.15">
      <c r="A316" s="2" t="s">
        <v>4</v>
      </c>
      <c r="B316" s="2" t="s">
        <v>0</v>
      </c>
      <c r="C316" s="2">
        <v>850</v>
      </c>
      <c r="D316" s="4" t="s">
        <v>105</v>
      </c>
      <c r="E316" s="3">
        <v>11</v>
      </c>
    </row>
    <row r="317" spans="1:5" x14ac:dyDescent="0.15">
      <c r="A317" s="2" t="s">
        <v>4</v>
      </c>
      <c r="B317" s="2" t="s">
        <v>0</v>
      </c>
      <c r="C317" s="2">
        <v>850</v>
      </c>
      <c r="D317" s="4" t="s">
        <v>106</v>
      </c>
      <c r="E317" s="3">
        <v>12.5</v>
      </c>
    </row>
    <row r="318" spans="1:5" x14ac:dyDescent="0.15">
      <c r="A318" s="2" t="s">
        <v>4</v>
      </c>
      <c r="B318" s="2" t="s">
        <v>0</v>
      </c>
      <c r="C318" s="2">
        <v>850</v>
      </c>
      <c r="D318" s="4" t="s">
        <v>107</v>
      </c>
      <c r="E318" s="3">
        <v>14.2</v>
      </c>
    </row>
    <row r="319" spans="1:5" x14ac:dyDescent="0.15">
      <c r="A319" s="2" t="s">
        <v>4</v>
      </c>
      <c r="B319" s="2" t="s">
        <v>0</v>
      </c>
      <c r="C319" s="2">
        <v>850</v>
      </c>
      <c r="D319" s="4" t="s">
        <v>108</v>
      </c>
      <c r="E319" s="3">
        <v>16</v>
      </c>
    </row>
    <row r="320" spans="1:5" x14ac:dyDescent="0.15">
      <c r="A320" s="2" t="s">
        <v>4</v>
      </c>
      <c r="B320" s="2" t="s">
        <v>0</v>
      </c>
      <c r="C320" s="2">
        <v>850</v>
      </c>
      <c r="D320" s="4" t="s">
        <v>109</v>
      </c>
      <c r="E320" s="3">
        <v>17.5</v>
      </c>
    </row>
    <row r="321" spans="1:5" x14ac:dyDescent="0.15">
      <c r="A321" s="2" t="s">
        <v>4</v>
      </c>
      <c r="B321" s="2" t="s">
        <v>0</v>
      </c>
      <c r="C321" s="2">
        <v>850</v>
      </c>
      <c r="D321" s="4" t="s">
        <v>110</v>
      </c>
      <c r="E321" s="3">
        <v>20</v>
      </c>
    </row>
    <row r="322" spans="1:5" x14ac:dyDescent="0.15">
      <c r="A322" s="2" t="s">
        <v>4</v>
      </c>
      <c r="B322" s="2" t="s">
        <v>0</v>
      </c>
      <c r="C322" s="2">
        <v>900</v>
      </c>
      <c r="D322" s="4" t="s">
        <v>100</v>
      </c>
      <c r="E322" s="3">
        <v>6.3</v>
      </c>
    </row>
    <row r="323" spans="1:5" x14ac:dyDescent="0.15">
      <c r="A323" s="2" t="s">
        <v>4</v>
      </c>
      <c r="B323" s="2" t="s">
        <v>0</v>
      </c>
      <c r="C323" s="2">
        <v>900</v>
      </c>
      <c r="D323" s="4" t="s">
        <v>101</v>
      </c>
      <c r="E323" s="3">
        <v>7.1</v>
      </c>
    </row>
    <row r="324" spans="1:5" x14ac:dyDescent="0.15">
      <c r="A324" s="2" t="s">
        <v>4</v>
      </c>
      <c r="B324" s="2" t="s">
        <v>0</v>
      </c>
      <c r="C324" s="2">
        <v>900</v>
      </c>
      <c r="D324" s="4" t="s">
        <v>102</v>
      </c>
      <c r="E324" s="3">
        <v>8</v>
      </c>
    </row>
    <row r="325" spans="1:5" x14ac:dyDescent="0.15">
      <c r="A325" s="2" t="s">
        <v>4</v>
      </c>
      <c r="B325" s="2" t="s">
        <v>0</v>
      </c>
      <c r="C325" s="2">
        <v>900</v>
      </c>
      <c r="D325" s="4" t="s">
        <v>103</v>
      </c>
      <c r="E325" s="3">
        <v>8.8000000000000007</v>
      </c>
    </row>
    <row r="326" spans="1:5" x14ac:dyDescent="0.15">
      <c r="A326" s="2" t="s">
        <v>4</v>
      </c>
      <c r="B326" s="2" t="s">
        <v>0</v>
      </c>
      <c r="C326" s="2">
        <v>900</v>
      </c>
      <c r="D326" s="4" t="s">
        <v>104</v>
      </c>
      <c r="E326" s="3">
        <v>10</v>
      </c>
    </row>
    <row r="327" spans="1:5" x14ac:dyDescent="0.15">
      <c r="A327" s="2" t="s">
        <v>4</v>
      </c>
      <c r="B327" s="2" t="s">
        <v>0</v>
      </c>
      <c r="C327" s="2">
        <v>900</v>
      </c>
      <c r="D327" s="4" t="s">
        <v>105</v>
      </c>
      <c r="E327" s="3">
        <v>11</v>
      </c>
    </row>
    <row r="328" spans="1:5" x14ac:dyDescent="0.15">
      <c r="A328" s="2" t="s">
        <v>4</v>
      </c>
      <c r="B328" s="2" t="s">
        <v>0</v>
      </c>
      <c r="C328" s="2">
        <v>900</v>
      </c>
      <c r="D328" s="4" t="s">
        <v>106</v>
      </c>
      <c r="E328" s="3">
        <v>12.5</v>
      </c>
    </row>
    <row r="329" spans="1:5" x14ac:dyDescent="0.15">
      <c r="A329" s="2" t="s">
        <v>4</v>
      </c>
      <c r="B329" s="2" t="s">
        <v>0</v>
      </c>
      <c r="C329" s="2">
        <v>900</v>
      </c>
      <c r="D329" s="4" t="s">
        <v>107</v>
      </c>
      <c r="E329" s="3">
        <v>14.2</v>
      </c>
    </row>
    <row r="330" spans="1:5" x14ac:dyDescent="0.15">
      <c r="A330" s="2" t="s">
        <v>4</v>
      </c>
      <c r="B330" s="2" t="s">
        <v>0</v>
      </c>
      <c r="C330" s="2">
        <v>900</v>
      </c>
      <c r="D330" s="4" t="s">
        <v>108</v>
      </c>
      <c r="E330" s="3">
        <v>16</v>
      </c>
    </row>
    <row r="331" spans="1:5" x14ac:dyDescent="0.15">
      <c r="A331" s="2" t="s">
        <v>4</v>
      </c>
      <c r="B331" s="2" t="s">
        <v>0</v>
      </c>
      <c r="C331" s="2">
        <v>900</v>
      </c>
      <c r="D331" s="4" t="s">
        <v>109</v>
      </c>
      <c r="E331" s="3">
        <v>17.5</v>
      </c>
    </row>
    <row r="332" spans="1:5" x14ac:dyDescent="0.15">
      <c r="A332" s="2" t="s">
        <v>4</v>
      </c>
      <c r="B332" s="2" t="s">
        <v>0</v>
      </c>
      <c r="C332" s="2">
        <v>900</v>
      </c>
      <c r="D332" s="4" t="s">
        <v>110</v>
      </c>
      <c r="E332" s="3">
        <v>20</v>
      </c>
    </row>
    <row r="333" spans="1:5" x14ac:dyDescent="0.15">
      <c r="A333" s="2" t="s">
        <v>4</v>
      </c>
      <c r="B333" s="2" t="s">
        <v>0</v>
      </c>
      <c r="C333" s="2">
        <v>950</v>
      </c>
      <c r="D333" s="4" t="s">
        <v>102</v>
      </c>
      <c r="E333" s="3">
        <v>8</v>
      </c>
    </row>
    <row r="334" spans="1:5" x14ac:dyDescent="0.15">
      <c r="A334" s="2" t="s">
        <v>4</v>
      </c>
      <c r="B334" s="2" t="s">
        <v>0</v>
      </c>
      <c r="C334" s="2">
        <v>950</v>
      </c>
      <c r="D334" s="4" t="s">
        <v>103</v>
      </c>
      <c r="E334" s="3">
        <v>8.8000000000000007</v>
      </c>
    </row>
    <row r="335" spans="1:5" x14ac:dyDescent="0.15">
      <c r="A335" s="2" t="s">
        <v>4</v>
      </c>
      <c r="B335" s="2" t="s">
        <v>0</v>
      </c>
      <c r="C335" s="2">
        <v>950</v>
      </c>
      <c r="D335" s="4" t="s">
        <v>104</v>
      </c>
      <c r="E335" s="3">
        <v>10</v>
      </c>
    </row>
    <row r="336" spans="1:5" x14ac:dyDescent="0.15">
      <c r="A336" s="2" t="s">
        <v>4</v>
      </c>
      <c r="B336" s="2" t="s">
        <v>0</v>
      </c>
      <c r="C336" s="2">
        <v>950</v>
      </c>
      <c r="D336" s="4" t="s">
        <v>105</v>
      </c>
      <c r="E336" s="3">
        <v>11</v>
      </c>
    </row>
    <row r="337" spans="1:5" x14ac:dyDescent="0.15">
      <c r="A337" s="2" t="s">
        <v>4</v>
      </c>
      <c r="B337" s="2" t="s">
        <v>0</v>
      </c>
      <c r="C337" s="2">
        <v>950</v>
      </c>
      <c r="D337" s="4" t="s">
        <v>106</v>
      </c>
      <c r="E337" s="3">
        <v>12.5</v>
      </c>
    </row>
    <row r="338" spans="1:5" x14ac:dyDescent="0.15">
      <c r="A338" s="2" t="s">
        <v>4</v>
      </c>
      <c r="B338" s="2" t="s">
        <v>0</v>
      </c>
      <c r="C338" s="2">
        <v>950</v>
      </c>
      <c r="D338" s="4" t="s">
        <v>107</v>
      </c>
      <c r="E338" s="3">
        <v>14.2</v>
      </c>
    </row>
    <row r="339" spans="1:5" x14ac:dyDescent="0.15">
      <c r="A339" s="2" t="s">
        <v>4</v>
      </c>
      <c r="B339" s="2" t="s">
        <v>0</v>
      </c>
      <c r="C339" s="2">
        <v>950</v>
      </c>
      <c r="D339" s="4" t="s">
        <v>108</v>
      </c>
      <c r="E339" s="3">
        <v>16</v>
      </c>
    </row>
    <row r="340" spans="1:5" x14ac:dyDescent="0.15">
      <c r="A340" s="2" t="s">
        <v>4</v>
      </c>
      <c r="B340" s="2" t="s">
        <v>0</v>
      </c>
      <c r="C340" s="2">
        <v>950</v>
      </c>
      <c r="D340" s="4" t="s">
        <v>109</v>
      </c>
      <c r="E340" s="3">
        <v>17.5</v>
      </c>
    </row>
    <row r="341" spans="1:5" x14ac:dyDescent="0.15">
      <c r="A341" s="2" t="s">
        <v>4</v>
      </c>
      <c r="B341" s="2" t="s">
        <v>0</v>
      </c>
      <c r="C341" s="2">
        <v>950</v>
      </c>
      <c r="D341" s="4" t="s">
        <v>110</v>
      </c>
      <c r="E341" s="3">
        <v>20</v>
      </c>
    </row>
    <row r="342" spans="1:5" x14ac:dyDescent="0.15">
      <c r="A342" s="2" t="s">
        <v>4</v>
      </c>
      <c r="B342" s="2" t="s">
        <v>0</v>
      </c>
      <c r="C342" s="2">
        <v>1000</v>
      </c>
      <c r="D342" s="4" t="s">
        <v>102</v>
      </c>
      <c r="E342" s="3">
        <v>8</v>
      </c>
    </row>
    <row r="343" spans="1:5" x14ac:dyDescent="0.15">
      <c r="A343" s="2" t="s">
        <v>4</v>
      </c>
      <c r="B343" s="2" t="s">
        <v>0</v>
      </c>
      <c r="C343" s="2">
        <v>1000</v>
      </c>
      <c r="D343" s="4" t="s">
        <v>103</v>
      </c>
      <c r="E343" s="3">
        <v>8.8000000000000007</v>
      </c>
    </row>
    <row r="344" spans="1:5" x14ac:dyDescent="0.15">
      <c r="A344" s="2" t="s">
        <v>4</v>
      </c>
      <c r="B344" s="2" t="s">
        <v>0</v>
      </c>
      <c r="C344" s="2">
        <v>1000</v>
      </c>
      <c r="D344" s="4" t="s">
        <v>104</v>
      </c>
      <c r="E344" s="3">
        <v>10</v>
      </c>
    </row>
    <row r="345" spans="1:5" x14ac:dyDescent="0.15">
      <c r="A345" s="2" t="s">
        <v>4</v>
      </c>
      <c r="B345" s="2" t="s">
        <v>0</v>
      </c>
      <c r="C345" s="2">
        <v>1000</v>
      </c>
      <c r="D345" s="4" t="s">
        <v>105</v>
      </c>
      <c r="E345" s="3">
        <v>11</v>
      </c>
    </row>
    <row r="346" spans="1:5" x14ac:dyDescent="0.15">
      <c r="A346" s="2" t="s">
        <v>4</v>
      </c>
      <c r="B346" s="2" t="s">
        <v>0</v>
      </c>
      <c r="C346" s="2">
        <v>1000</v>
      </c>
      <c r="D346" s="4" t="s">
        <v>106</v>
      </c>
      <c r="E346" s="3">
        <v>12.5</v>
      </c>
    </row>
    <row r="347" spans="1:5" x14ac:dyDescent="0.15">
      <c r="A347" s="2" t="s">
        <v>4</v>
      </c>
      <c r="B347" s="2" t="s">
        <v>0</v>
      </c>
      <c r="C347" s="2">
        <v>1000</v>
      </c>
      <c r="D347" s="4" t="s">
        <v>107</v>
      </c>
      <c r="E347" s="3">
        <v>14.2</v>
      </c>
    </row>
    <row r="348" spans="1:5" x14ac:dyDescent="0.15">
      <c r="A348" s="2" t="s">
        <v>4</v>
      </c>
      <c r="B348" s="2" t="s">
        <v>0</v>
      </c>
      <c r="C348" s="2">
        <v>1000</v>
      </c>
      <c r="D348" s="4" t="s">
        <v>108</v>
      </c>
      <c r="E348" s="3">
        <v>16</v>
      </c>
    </row>
    <row r="349" spans="1:5" x14ac:dyDescent="0.15">
      <c r="A349" s="2" t="s">
        <v>4</v>
      </c>
      <c r="B349" s="2" t="s">
        <v>0</v>
      </c>
      <c r="C349" s="2">
        <v>1000</v>
      </c>
      <c r="D349" s="4" t="s">
        <v>109</v>
      </c>
      <c r="E349" s="3">
        <v>17.5</v>
      </c>
    </row>
    <row r="350" spans="1:5" x14ac:dyDescent="0.15">
      <c r="A350" s="2" t="s">
        <v>4</v>
      </c>
      <c r="B350" s="2" t="s">
        <v>0</v>
      </c>
      <c r="C350" s="2">
        <v>1000</v>
      </c>
      <c r="D350" s="4" t="s">
        <v>110</v>
      </c>
      <c r="E350" s="3">
        <v>20</v>
      </c>
    </row>
    <row r="351" spans="1:5" x14ac:dyDescent="0.15">
      <c r="A351" s="2" t="s">
        <v>4</v>
      </c>
      <c r="B351" s="2" t="s">
        <v>0</v>
      </c>
      <c r="C351" s="2">
        <v>1050</v>
      </c>
      <c r="D351" s="4" t="s">
        <v>103</v>
      </c>
      <c r="E351" s="3">
        <v>8.8000000000000007</v>
      </c>
    </row>
    <row r="352" spans="1:5" x14ac:dyDescent="0.15">
      <c r="A352" s="2" t="s">
        <v>4</v>
      </c>
      <c r="B352" s="2" t="s">
        <v>0</v>
      </c>
      <c r="C352" s="2">
        <v>1050</v>
      </c>
      <c r="D352" s="4" t="s">
        <v>104</v>
      </c>
      <c r="E352" s="3">
        <v>10</v>
      </c>
    </row>
    <row r="353" spans="1:5" x14ac:dyDescent="0.15">
      <c r="A353" s="2" t="s">
        <v>4</v>
      </c>
      <c r="B353" s="2" t="s">
        <v>0</v>
      </c>
      <c r="C353" s="2">
        <v>1050</v>
      </c>
      <c r="D353" s="4" t="s">
        <v>105</v>
      </c>
      <c r="E353" s="3">
        <v>11</v>
      </c>
    </row>
    <row r="354" spans="1:5" x14ac:dyDescent="0.15">
      <c r="A354" s="2" t="s">
        <v>4</v>
      </c>
      <c r="B354" s="2" t="s">
        <v>0</v>
      </c>
      <c r="C354" s="2">
        <v>1050</v>
      </c>
      <c r="D354" s="4" t="s">
        <v>106</v>
      </c>
      <c r="E354" s="3">
        <v>12.5</v>
      </c>
    </row>
    <row r="355" spans="1:5" x14ac:dyDescent="0.15">
      <c r="A355" s="2" t="s">
        <v>4</v>
      </c>
      <c r="B355" s="2" t="s">
        <v>0</v>
      </c>
      <c r="C355" s="2">
        <v>1050</v>
      </c>
      <c r="D355" s="4" t="s">
        <v>107</v>
      </c>
      <c r="E355" s="3">
        <v>14.2</v>
      </c>
    </row>
    <row r="356" spans="1:5" x14ac:dyDescent="0.15">
      <c r="A356" s="2" t="s">
        <v>4</v>
      </c>
      <c r="B356" s="2" t="s">
        <v>0</v>
      </c>
      <c r="C356" s="2">
        <v>1050</v>
      </c>
      <c r="D356" s="4" t="s">
        <v>108</v>
      </c>
      <c r="E356" s="3">
        <v>16</v>
      </c>
    </row>
    <row r="357" spans="1:5" x14ac:dyDescent="0.15">
      <c r="A357" s="2" t="s">
        <v>4</v>
      </c>
      <c r="B357" s="2" t="s">
        <v>0</v>
      </c>
      <c r="C357" s="2">
        <v>1050</v>
      </c>
      <c r="D357" s="4" t="s">
        <v>109</v>
      </c>
      <c r="E357" s="3">
        <v>17.5</v>
      </c>
    </row>
    <row r="358" spans="1:5" x14ac:dyDescent="0.15">
      <c r="A358" s="2" t="s">
        <v>4</v>
      </c>
      <c r="B358" s="2" t="s">
        <v>0</v>
      </c>
      <c r="C358" s="2">
        <v>1050</v>
      </c>
      <c r="D358" s="4" t="s">
        <v>110</v>
      </c>
      <c r="E358" s="3">
        <v>20</v>
      </c>
    </row>
    <row r="359" spans="1:5" x14ac:dyDescent="0.15">
      <c r="A359" s="2" t="s">
        <v>4</v>
      </c>
      <c r="B359" s="2" t="s">
        <v>0</v>
      </c>
      <c r="C359" s="2">
        <v>1100</v>
      </c>
      <c r="D359" s="4" t="s">
        <v>103</v>
      </c>
      <c r="E359" s="3">
        <v>8.8000000000000007</v>
      </c>
    </row>
    <row r="360" spans="1:5" x14ac:dyDescent="0.15">
      <c r="A360" s="2" t="s">
        <v>4</v>
      </c>
      <c r="B360" s="2" t="s">
        <v>0</v>
      </c>
      <c r="C360" s="2">
        <v>1100</v>
      </c>
      <c r="D360" s="4" t="s">
        <v>104</v>
      </c>
      <c r="E360" s="3">
        <v>10</v>
      </c>
    </row>
    <row r="361" spans="1:5" x14ac:dyDescent="0.15">
      <c r="A361" s="2" t="s">
        <v>4</v>
      </c>
      <c r="B361" s="2" t="s">
        <v>0</v>
      </c>
      <c r="C361" s="2">
        <v>1100</v>
      </c>
      <c r="D361" s="4" t="s">
        <v>105</v>
      </c>
      <c r="E361" s="3">
        <v>11</v>
      </c>
    </row>
    <row r="362" spans="1:5" x14ac:dyDescent="0.15">
      <c r="A362" s="2" t="s">
        <v>4</v>
      </c>
      <c r="B362" s="2" t="s">
        <v>0</v>
      </c>
      <c r="C362" s="2">
        <v>1100</v>
      </c>
      <c r="D362" s="4" t="s">
        <v>106</v>
      </c>
      <c r="E362" s="3">
        <v>12.5</v>
      </c>
    </row>
    <row r="363" spans="1:5" x14ac:dyDescent="0.15">
      <c r="A363" s="2" t="s">
        <v>4</v>
      </c>
      <c r="B363" s="2" t="s">
        <v>0</v>
      </c>
      <c r="C363" s="2">
        <v>1100</v>
      </c>
      <c r="D363" s="4" t="s">
        <v>107</v>
      </c>
      <c r="E363" s="3">
        <v>14.2</v>
      </c>
    </row>
    <row r="364" spans="1:5" x14ac:dyDescent="0.15">
      <c r="A364" s="2" t="s">
        <v>4</v>
      </c>
      <c r="B364" s="2" t="s">
        <v>0</v>
      </c>
      <c r="C364" s="2">
        <v>1100</v>
      </c>
      <c r="D364" s="4" t="s">
        <v>108</v>
      </c>
      <c r="E364" s="3">
        <v>16</v>
      </c>
    </row>
    <row r="365" spans="1:5" x14ac:dyDescent="0.15">
      <c r="A365" s="2" t="s">
        <v>4</v>
      </c>
      <c r="B365" s="2" t="s">
        <v>0</v>
      </c>
      <c r="C365" s="2">
        <v>1100</v>
      </c>
      <c r="D365" s="4" t="s">
        <v>109</v>
      </c>
      <c r="E365" s="3">
        <v>17.5</v>
      </c>
    </row>
    <row r="366" spans="1:5" x14ac:dyDescent="0.15">
      <c r="A366" s="2" t="s">
        <v>4</v>
      </c>
      <c r="B366" s="2" t="s">
        <v>0</v>
      </c>
      <c r="C366" s="2">
        <v>1100</v>
      </c>
      <c r="D366" s="4" t="s">
        <v>110</v>
      </c>
      <c r="E366" s="3">
        <v>20</v>
      </c>
    </row>
    <row r="367" spans="1:5" x14ac:dyDescent="0.15">
      <c r="A367" s="2" t="s">
        <v>4</v>
      </c>
      <c r="B367" s="2" t="s">
        <v>0</v>
      </c>
      <c r="C367" s="2">
        <v>1150</v>
      </c>
      <c r="D367" s="4" t="s">
        <v>103</v>
      </c>
      <c r="E367" s="3">
        <v>8.8000000000000007</v>
      </c>
    </row>
    <row r="368" spans="1:5" x14ac:dyDescent="0.15">
      <c r="A368" s="2" t="s">
        <v>4</v>
      </c>
      <c r="B368" s="2" t="s">
        <v>0</v>
      </c>
      <c r="C368" s="2">
        <v>1150</v>
      </c>
      <c r="D368" s="4" t="s">
        <v>104</v>
      </c>
      <c r="E368" s="3">
        <v>10</v>
      </c>
    </row>
    <row r="369" spans="1:5" x14ac:dyDescent="0.15">
      <c r="A369" s="2" t="s">
        <v>4</v>
      </c>
      <c r="B369" s="2" t="s">
        <v>0</v>
      </c>
      <c r="C369" s="2">
        <v>1150</v>
      </c>
      <c r="D369" s="4" t="s">
        <v>105</v>
      </c>
      <c r="E369" s="3">
        <v>11</v>
      </c>
    </row>
    <row r="370" spans="1:5" x14ac:dyDescent="0.15">
      <c r="A370" s="2" t="s">
        <v>4</v>
      </c>
      <c r="B370" s="2" t="s">
        <v>0</v>
      </c>
      <c r="C370" s="2">
        <v>1150</v>
      </c>
      <c r="D370" s="4" t="s">
        <v>106</v>
      </c>
      <c r="E370" s="3">
        <v>12.5</v>
      </c>
    </row>
    <row r="371" spans="1:5" x14ac:dyDescent="0.15">
      <c r="A371" s="2" t="s">
        <v>4</v>
      </c>
      <c r="B371" s="2" t="s">
        <v>0</v>
      </c>
      <c r="C371" s="2">
        <v>1150</v>
      </c>
      <c r="D371" s="4" t="s">
        <v>107</v>
      </c>
      <c r="E371" s="3">
        <v>14.2</v>
      </c>
    </row>
    <row r="372" spans="1:5" x14ac:dyDescent="0.15">
      <c r="A372" s="2" t="s">
        <v>4</v>
      </c>
      <c r="B372" s="2" t="s">
        <v>0</v>
      </c>
      <c r="C372" s="2">
        <v>1150</v>
      </c>
      <c r="D372" s="4" t="s">
        <v>108</v>
      </c>
      <c r="E372" s="3">
        <v>16</v>
      </c>
    </row>
    <row r="373" spans="1:5" x14ac:dyDescent="0.15">
      <c r="A373" s="2" t="s">
        <v>4</v>
      </c>
      <c r="B373" s="2" t="s">
        <v>0</v>
      </c>
      <c r="C373" s="2">
        <v>1150</v>
      </c>
      <c r="D373" s="4" t="s">
        <v>109</v>
      </c>
      <c r="E373" s="3">
        <v>17.5</v>
      </c>
    </row>
    <row r="374" spans="1:5" x14ac:dyDescent="0.15">
      <c r="A374" s="2" t="s">
        <v>4</v>
      </c>
      <c r="B374" s="2" t="s">
        <v>0</v>
      </c>
      <c r="C374" s="2">
        <v>1150</v>
      </c>
      <c r="D374" s="4" t="s">
        <v>110</v>
      </c>
      <c r="E374" s="3">
        <v>20</v>
      </c>
    </row>
    <row r="375" spans="1:5" x14ac:dyDescent="0.15">
      <c r="A375" s="2" t="s">
        <v>4</v>
      </c>
      <c r="B375" s="2" t="s">
        <v>0</v>
      </c>
      <c r="C375" s="2">
        <v>1200</v>
      </c>
      <c r="D375" s="4" t="s">
        <v>103</v>
      </c>
      <c r="E375" s="3">
        <v>8.8000000000000007</v>
      </c>
    </row>
    <row r="376" spans="1:5" x14ac:dyDescent="0.15">
      <c r="A376" s="2" t="s">
        <v>4</v>
      </c>
      <c r="B376" s="2" t="s">
        <v>0</v>
      </c>
      <c r="C376" s="2">
        <v>1200</v>
      </c>
      <c r="D376" s="4" t="s">
        <v>104</v>
      </c>
      <c r="E376" s="3">
        <v>10</v>
      </c>
    </row>
    <row r="377" spans="1:5" x14ac:dyDescent="0.15">
      <c r="A377" s="2" t="s">
        <v>4</v>
      </c>
      <c r="B377" s="2" t="s">
        <v>0</v>
      </c>
      <c r="C377" s="2">
        <v>1200</v>
      </c>
      <c r="D377" s="4" t="s">
        <v>105</v>
      </c>
      <c r="E377" s="3">
        <v>11</v>
      </c>
    </row>
    <row r="378" spans="1:5" x14ac:dyDescent="0.15">
      <c r="A378" s="2" t="s">
        <v>4</v>
      </c>
      <c r="B378" s="2" t="s">
        <v>0</v>
      </c>
      <c r="C378" s="2">
        <v>1200</v>
      </c>
      <c r="D378" s="4" t="s">
        <v>106</v>
      </c>
      <c r="E378" s="3">
        <v>12.5</v>
      </c>
    </row>
    <row r="379" spans="1:5" x14ac:dyDescent="0.15">
      <c r="A379" s="2" t="s">
        <v>4</v>
      </c>
      <c r="B379" s="2" t="s">
        <v>0</v>
      </c>
      <c r="C379" s="2">
        <v>1200</v>
      </c>
      <c r="D379" s="4" t="s">
        <v>107</v>
      </c>
      <c r="E379" s="3">
        <v>14.2</v>
      </c>
    </row>
    <row r="380" spans="1:5" x14ac:dyDescent="0.15">
      <c r="A380" s="2" t="s">
        <v>4</v>
      </c>
      <c r="B380" s="2" t="s">
        <v>0</v>
      </c>
      <c r="C380" s="2">
        <v>1200</v>
      </c>
      <c r="D380" s="4" t="s">
        <v>108</v>
      </c>
      <c r="E380" s="3">
        <v>16</v>
      </c>
    </row>
    <row r="381" spans="1:5" x14ac:dyDescent="0.15">
      <c r="A381" s="2" t="s">
        <v>4</v>
      </c>
      <c r="B381" s="2" t="s">
        <v>0</v>
      </c>
      <c r="C381" s="2">
        <v>1200</v>
      </c>
      <c r="D381" s="4" t="s">
        <v>109</v>
      </c>
      <c r="E381" s="3">
        <v>17.5</v>
      </c>
    </row>
    <row r="382" spans="1:5" x14ac:dyDescent="0.15">
      <c r="A382" s="2" t="s">
        <v>4</v>
      </c>
      <c r="B382" s="2" t="s">
        <v>0</v>
      </c>
      <c r="C382" s="2">
        <v>1200</v>
      </c>
      <c r="D382" s="4" t="s">
        <v>110</v>
      </c>
      <c r="E382" s="3">
        <v>20</v>
      </c>
    </row>
    <row r="383" spans="1:5" s="11" customFormat="1" x14ac:dyDescent="0.15">
      <c r="A383" s="7" t="s">
        <v>4</v>
      </c>
      <c r="B383" s="7" t="s">
        <v>0</v>
      </c>
      <c r="C383" s="7">
        <v>1250</v>
      </c>
      <c r="D383" s="14" t="s">
        <v>104</v>
      </c>
      <c r="E383" s="15">
        <v>10</v>
      </c>
    </row>
    <row r="384" spans="1:5" s="11" customFormat="1" x14ac:dyDescent="0.15">
      <c r="A384" s="7" t="s">
        <v>4</v>
      </c>
      <c r="B384" s="7" t="s">
        <v>0</v>
      </c>
      <c r="C384" s="7">
        <v>1250</v>
      </c>
      <c r="D384" s="14" t="s">
        <v>105</v>
      </c>
      <c r="E384" s="15">
        <v>11</v>
      </c>
    </row>
    <row r="385" spans="1:5" s="11" customFormat="1" x14ac:dyDescent="0.15">
      <c r="A385" s="7" t="s">
        <v>4</v>
      </c>
      <c r="B385" s="7" t="s">
        <v>0</v>
      </c>
      <c r="C385" s="7">
        <v>1250</v>
      </c>
      <c r="D385" s="14" t="s">
        <v>106</v>
      </c>
      <c r="E385" s="15">
        <v>12.5</v>
      </c>
    </row>
    <row r="386" spans="1:5" s="11" customFormat="1" x14ac:dyDescent="0.15">
      <c r="A386" s="7" t="s">
        <v>4</v>
      </c>
      <c r="B386" s="7" t="s">
        <v>0</v>
      </c>
      <c r="C386" s="7">
        <v>1250</v>
      </c>
      <c r="D386" s="14" t="s">
        <v>107</v>
      </c>
      <c r="E386" s="15">
        <v>14.2</v>
      </c>
    </row>
    <row r="387" spans="1:5" s="11" customFormat="1" x14ac:dyDescent="0.15">
      <c r="A387" s="7" t="s">
        <v>4</v>
      </c>
      <c r="B387" s="7" t="s">
        <v>0</v>
      </c>
      <c r="C387" s="7">
        <v>1250</v>
      </c>
      <c r="D387" s="14" t="s">
        <v>108</v>
      </c>
      <c r="E387" s="15">
        <v>16</v>
      </c>
    </row>
    <row r="388" spans="1:5" s="11" customFormat="1" x14ac:dyDescent="0.15">
      <c r="A388" s="7" t="s">
        <v>4</v>
      </c>
      <c r="B388" s="7" t="s">
        <v>0</v>
      </c>
      <c r="C388" s="7">
        <v>1250</v>
      </c>
      <c r="D388" s="14" t="s">
        <v>109</v>
      </c>
      <c r="E388" s="15">
        <v>17.5</v>
      </c>
    </row>
    <row r="389" spans="1:5" s="11" customFormat="1" x14ac:dyDescent="0.15">
      <c r="A389" s="7" t="s">
        <v>4</v>
      </c>
      <c r="B389" s="7" t="s">
        <v>0</v>
      </c>
      <c r="C389" s="7">
        <v>1250</v>
      </c>
      <c r="D389" s="14" t="s">
        <v>110</v>
      </c>
      <c r="E389" s="15">
        <v>20</v>
      </c>
    </row>
    <row r="390" spans="1:5" x14ac:dyDescent="0.15">
      <c r="A390" s="2" t="s">
        <v>4</v>
      </c>
      <c r="B390" s="2" t="s">
        <v>0</v>
      </c>
      <c r="C390" s="2">
        <v>1300</v>
      </c>
      <c r="D390" s="4" t="s">
        <v>104</v>
      </c>
      <c r="E390" s="3">
        <v>10</v>
      </c>
    </row>
    <row r="391" spans="1:5" x14ac:dyDescent="0.15">
      <c r="A391" s="2" t="s">
        <v>4</v>
      </c>
      <c r="B391" s="2" t="s">
        <v>0</v>
      </c>
      <c r="C391" s="2">
        <v>1300</v>
      </c>
      <c r="D391" s="4" t="s">
        <v>105</v>
      </c>
      <c r="E391" s="3">
        <v>11</v>
      </c>
    </row>
    <row r="392" spans="1:5" x14ac:dyDescent="0.15">
      <c r="A392" s="2" t="s">
        <v>4</v>
      </c>
      <c r="B392" s="2" t="s">
        <v>0</v>
      </c>
      <c r="C392" s="2">
        <v>1300</v>
      </c>
      <c r="D392" s="4" t="s">
        <v>106</v>
      </c>
      <c r="E392" s="3">
        <v>12.5</v>
      </c>
    </row>
    <row r="393" spans="1:5" x14ac:dyDescent="0.15">
      <c r="A393" s="2" t="s">
        <v>4</v>
      </c>
      <c r="B393" s="2" t="s">
        <v>0</v>
      </c>
      <c r="C393" s="2">
        <v>1300</v>
      </c>
      <c r="D393" s="4" t="s">
        <v>107</v>
      </c>
      <c r="E393" s="3">
        <v>14.2</v>
      </c>
    </row>
    <row r="394" spans="1:5" x14ac:dyDescent="0.15">
      <c r="A394" s="2" t="s">
        <v>4</v>
      </c>
      <c r="B394" s="2" t="s">
        <v>0</v>
      </c>
      <c r="C394" s="2">
        <v>1300</v>
      </c>
      <c r="D394" s="4" t="s">
        <v>108</v>
      </c>
      <c r="E394" s="3">
        <v>16</v>
      </c>
    </row>
    <row r="395" spans="1:5" x14ac:dyDescent="0.15">
      <c r="A395" s="2" t="s">
        <v>4</v>
      </c>
      <c r="B395" s="2" t="s">
        <v>0</v>
      </c>
      <c r="C395" s="2">
        <v>1300</v>
      </c>
      <c r="D395" s="4" t="s">
        <v>109</v>
      </c>
      <c r="E395" s="3">
        <v>17.5</v>
      </c>
    </row>
    <row r="396" spans="1:5" x14ac:dyDescent="0.15">
      <c r="A396" s="2" t="s">
        <v>4</v>
      </c>
      <c r="B396" s="2" t="s">
        <v>0</v>
      </c>
      <c r="C396" s="2">
        <v>1300</v>
      </c>
      <c r="D396" s="4" t="s">
        <v>110</v>
      </c>
      <c r="E396" s="3">
        <v>20</v>
      </c>
    </row>
    <row r="397" spans="1:5" s="11" customFormat="1" x14ac:dyDescent="0.15">
      <c r="A397" s="7" t="s">
        <v>4</v>
      </c>
      <c r="B397" s="7" t="s">
        <v>0</v>
      </c>
      <c r="C397" s="7">
        <v>1350</v>
      </c>
      <c r="D397" s="14" t="s">
        <v>104</v>
      </c>
      <c r="E397" s="15">
        <v>10</v>
      </c>
    </row>
    <row r="398" spans="1:5" s="11" customFormat="1" x14ac:dyDescent="0.15">
      <c r="A398" s="7" t="s">
        <v>4</v>
      </c>
      <c r="B398" s="7" t="s">
        <v>0</v>
      </c>
      <c r="C398" s="7">
        <v>1350</v>
      </c>
      <c r="D398" s="14" t="s">
        <v>105</v>
      </c>
      <c r="E398" s="15">
        <v>11</v>
      </c>
    </row>
    <row r="399" spans="1:5" s="11" customFormat="1" x14ac:dyDescent="0.15">
      <c r="A399" s="7" t="s">
        <v>4</v>
      </c>
      <c r="B399" s="7" t="s">
        <v>0</v>
      </c>
      <c r="C399" s="7">
        <v>1350</v>
      </c>
      <c r="D399" s="14" t="s">
        <v>106</v>
      </c>
      <c r="E399" s="15">
        <v>12.5</v>
      </c>
    </row>
    <row r="400" spans="1:5" s="11" customFormat="1" x14ac:dyDescent="0.15">
      <c r="A400" s="7" t="s">
        <v>4</v>
      </c>
      <c r="B400" s="7" t="s">
        <v>0</v>
      </c>
      <c r="C400" s="7">
        <v>1350</v>
      </c>
      <c r="D400" s="14" t="s">
        <v>107</v>
      </c>
      <c r="E400" s="15">
        <v>14.2</v>
      </c>
    </row>
    <row r="401" spans="1:5" s="11" customFormat="1" x14ac:dyDescent="0.15">
      <c r="A401" s="7" t="s">
        <v>4</v>
      </c>
      <c r="B401" s="7" t="s">
        <v>0</v>
      </c>
      <c r="C401" s="7">
        <v>1350</v>
      </c>
      <c r="D401" s="14" t="s">
        <v>108</v>
      </c>
      <c r="E401" s="15">
        <v>16</v>
      </c>
    </row>
    <row r="402" spans="1:5" s="11" customFormat="1" x14ac:dyDescent="0.15">
      <c r="A402" s="7" t="s">
        <v>4</v>
      </c>
      <c r="B402" s="7" t="s">
        <v>0</v>
      </c>
      <c r="C402" s="7">
        <v>1350</v>
      </c>
      <c r="D402" s="14" t="s">
        <v>109</v>
      </c>
      <c r="E402" s="15">
        <v>17.5</v>
      </c>
    </row>
    <row r="403" spans="1:5" s="11" customFormat="1" x14ac:dyDescent="0.15">
      <c r="A403" s="7" t="s">
        <v>4</v>
      </c>
      <c r="B403" s="7" t="s">
        <v>0</v>
      </c>
      <c r="C403" s="7">
        <v>1350</v>
      </c>
      <c r="D403" s="14" t="s">
        <v>110</v>
      </c>
      <c r="E403" s="15">
        <v>20</v>
      </c>
    </row>
    <row r="404" spans="1:5" x14ac:dyDescent="0.15">
      <c r="A404" s="2" t="s">
        <v>4</v>
      </c>
      <c r="B404" s="2" t="s">
        <v>0</v>
      </c>
      <c r="C404" s="2">
        <v>1400</v>
      </c>
      <c r="D404" s="4" t="s">
        <v>104</v>
      </c>
      <c r="E404" s="3">
        <v>10</v>
      </c>
    </row>
    <row r="405" spans="1:5" x14ac:dyDescent="0.15">
      <c r="A405" s="2" t="s">
        <v>4</v>
      </c>
      <c r="B405" s="2" t="s">
        <v>0</v>
      </c>
      <c r="C405" s="2">
        <v>1400</v>
      </c>
      <c r="D405" s="4" t="s">
        <v>105</v>
      </c>
      <c r="E405" s="3">
        <v>11</v>
      </c>
    </row>
    <row r="406" spans="1:5" x14ac:dyDescent="0.15">
      <c r="A406" s="2" t="s">
        <v>4</v>
      </c>
      <c r="B406" s="2" t="s">
        <v>0</v>
      </c>
      <c r="C406" s="2">
        <v>1400</v>
      </c>
      <c r="D406" s="4" t="s">
        <v>106</v>
      </c>
      <c r="E406" s="3">
        <v>12.5</v>
      </c>
    </row>
    <row r="407" spans="1:5" x14ac:dyDescent="0.15">
      <c r="A407" s="2" t="s">
        <v>4</v>
      </c>
      <c r="B407" s="2" t="s">
        <v>0</v>
      </c>
      <c r="C407" s="2">
        <v>1400</v>
      </c>
      <c r="D407" s="4" t="s">
        <v>107</v>
      </c>
      <c r="E407" s="3">
        <v>14.2</v>
      </c>
    </row>
    <row r="408" spans="1:5" x14ac:dyDescent="0.15">
      <c r="A408" s="2" t="s">
        <v>4</v>
      </c>
      <c r="B408" s="2" t="s">
        <v>0</v>
      </c>
      <c r="C408" s="2">
        <v>1400</v>
      </c>
      <c r="D408" s="4" t="s">
        <v>108</v>
      </c>
      <c r="E408" s="3">
        <v>16</v>
      </c>
    </row>
    <row r="409" spans="1:5" x14ac:dyDescent="0.15">
      <c r="A409" s="2" t="s">
        <v>4</v>
      </c>
      <c r="B409" s="2" t="s">
        <v>0</v>
      </c>
      <c r="C409" s="2">
        <v>1400</v>
      </c>
      <c r="D409" s="4" t="s">
        <v>109</v>
      </c>
      <c r="E409" s="3">
        <v>17.5</v>
      </c>
    </row>
    <row r="410" spans="1:5" x14ac:dyDescent="0.15">
      <c r="A410" s="2" t="s">
        <v>4</v>
      </c>
      <c r="B410" s="2" t="s">
        <v>0</v>
      </c>
      <c r="C410" s="2">
        <v>1400</v>
      </c>
      <c r="D410" s="4" t="s">
        <v>110</v>
      </c>
      <c r="E410" s="3">
        <v>20</v>
      </c>
    </row>
    <row r="411" spans="1:5" s="11" customFormat="1" x14ac:dyDescent="0.15">
      <c r="A411" s="7" t="s">
        <v>4</v>
      </c>
      <c r="B411" s="7" t="s">
        <v>0</v>
      </c>
      <c r="C411" s="7">
        <v>1450</v>
      </c>
      <c r="D411" s="14" t="s">
        <v>104</v>
      </c>
      <c r="E411" s="15">
        <v>10</v>
      </c>
    </row>
    <row r="412" spans="1:5" s="11" customFormat="1" x14ac:dyDescent="0.15">
      <c r="A412" s="7" t="s">
        <v>4</v>
      </c>
      <c r="B412" s="7" t="s">
        <v>0</v>
      </c>
      <c r="C412" s="7">
        <v>1450</v>
      </c>
      <c r="D412" s="14" t="s">
        <v>105</v>
      </c>
      <c r="E412" s="15">
        <v>11</v>
      </c>
    </row>
    <row r="413" spans="1:5" s="11" customFormat="1" x14ac:dyDescent="0.15">
      <c r="A413" s="7" t="s">
        <v>4</v>
      </c>
      <c r="B413" s="7" t="s">
        <v>0</v>
      </c>
      <c r="C413" s="7">
        <v>1450</v>
      </c>
      <c r="D413" s="14" t="s">
        <v>106</v>
      </c>
      <c r="E413" s="15">
        <v>12.5</v>
      </c>
    </row>
    <row r="414" spans="1:5" s="11" customFormat="1" x14ac:dyDescent="0.15">
      <c r="A414" s="7" t="s">
        <v>4</v>
      </c>
      <c r="B414" s="7" t="s">
        <v>0</v>
      </c>
      <c r="C414" s="7">
        <v>1450</v>
      </c>
      <c r="D414" s="14" t="s">
        <v>107</v>
      </c>
      <c r="E414" s="15">
        <v>14.2</v>
      </c>
    </row>
    <row r="415" spans="1:5" s="11" customFormat="1" x14ac:dyDescent="0.15">
      <c r="A415" s="7" t="s">
        <v>4</v>
      </c>
      <c r="B415" s="7" t="s">
        <v>0</v>
      </c>
      <c r="C415" s="7">
        <v>1450</v>
      </c>
      <c r="D415" s="14" t="s">
        <v>108</v>
      </c>
      <c r="E415" s="15">
        <v>16</v>
      </c>
    </row>
    <row r="416" spans="1:5" s="11" customFormat="1" x14ac:dyDescent="0.15">
      <c r="A416" s="7" t="s">
        <v>4</v>
      </c>
      <c r="B416" s="7" t="s">
        <v>0</v>
      </c>
      <c r="C416" s="7">
        <v>1450</v>
      </c>
      <c r="D416" s="14" t="s">
        <v>109</v>
      </c>
      <c r="E416" s="15">
        <v>17.5</v>
      </c>
    </row>
    <row r="417" spans="1:5" s="11" customFormat="1" x14ac:dyDescent="0.15">
      <c r="A417" s="7" t="s">
        <v>4</v>
      </c>
      <c r="B417" s="7" t="s">
        <v>0</v>
      </c>
      <c r="C417" s="7">
        <v>1450</v>
      </c>
      <c r="D417" s="14" t="s">
        <v>110</v>
      </c>
      <c r="E417" s="15">
        <v>20</v>
      </c>
    </row>
    <row r="418" spans="1:5" x14ac:dyDescent="0.15">
      <c r="A418" s="2" t="s">
        <v>4</v>
      </c>
      <c r="B418" s="2" t="s">
        <v>0</v>
      </c>
      <c r="C418" s="2">
        <v>1500</v>
      </c>
      <c r="D418" s="4" t="s">
        <v>104</v>
      </c>
      <c r="E418" s="3">
        <v>10</v>
      </c>
    </row>
    <row r="419" spans="1:5" x14ac:dyDescent="0.15">
      <c r="A419" s="2" t="s">
        <v>4</v>
      </c>
      <c r="B419" s="2" t="s">
        <v>0</v>
      </c>
      <c r="C419" s="2">
        <v>1500</v>
      </c>
      <c r="D419" s="4" t="s">
        <v>105</v>
      </c>
      <c r="E419" s="3">
        <v>11</v>
      </c>
    </row>
    <row r="420" spans="1:5" x14ac:dyDescent="0.15">
      <c r="A420" s="2" t="s">
        <v>4</v>
      </c>
      <c r="B420" s="2" t="s">
        <v>0</v>
      </c>
      <c r="C420" s="2">
        <v>1500</v>
      </c>
      <c r="D420" s="4" t="s">
        <v>106</v>
      </c>
      <c r="E420" s="3">
        <v>12.5</v>
      </c>
    </row>
    <row r="421" spans="1:5" x14ac:dyDescent="0.15">
      <c r="A421" s="2" t="s">
        <v>4</v>
      </c>
      <c r="B421" s="2" t="s">
        <v>0</v>
      </c>
      <c r="C421" s="2">
        <v>1500</v>
      </c>
      <c r="D421" s="4" t="s">
        <v>107</v>
      </c>
      <c r="E421" s="3">
        <v>14.2</v>
      </c>
    </row>
    <row r="422" spans="1:5" x14ac:dyDescent="0.15">
      <c r="A422" s="2" t="s">
        <v>4</v>
      </c>
      <c r="B422" s="2" t="s">
        <v>0</v>
      </c>
      <c r="C422" s="2">
        <v>1500</v>
      </c>
      <c r="D422" s="4" t="s">
        <v>108</v>
      </c>
      <c r="E422" s="3">
        <v>16</v>
      </c>
    </row>
    <row r="423" spans="1:5" x14ac:dyDescent="0.15">
      <c r="A423" s="2" t="s">
        <v>4</v>
      </c>
      <c r="B423" s="2" t="s">
        <v>0</v>
      </c>
      <c r="C423" s="2">
        <v>1500</v>
      </c>
      <c r="D423" s="4" t="s">
        <v>109</v>
      </c>
      <c r="E423" s="3">
        <v>17.5</v>
      </c>
    </row>
    <row r="424" spans="1:5" x14ac:dyDescent="0.15">
      <c r="A424" s="2" t="s">
        <v>4</v>
      </c>
      <c r="B424" s="2" t="s">
        <v>0</v>
      </c>
      <c r="C424" s="2">
        <v>1500</v>
      </c>
      <c r="D424" s="4" t="s">
        <v>110</v>
      </c>
      <c r="E424" s="3">
        <v>20</v>
      </c>
    </row>
    <row r="425" spans="1:5" x14ac:dyDescent="0.15">
      <c r="A425" s="2" t="s">
        <v>4</v>
      </c>
      <c r="B425" s="2" t="s">
        <v>0</v>
      </c>
      <c r="C425" s="2">
        <v>1500</v>
      </c>
      <c r="D425" s="4" t="s">
        <v>104</v>
      </c>
      <c r="E425" s="3">
        <v>10</v>
      </c>
    </row>
    <row r="426" spans="1:5" x14ac:dyDescent="0.15">
      <c r="A426" s="2" t="s">
        <v>4</v>
      </c>
      <c r="B426" s="2" t="s">
        <v>0</v>
      </c>
      <c r="C426" s="2">
        <v>1500</v>
      </c>
      <c r="D426" s="4" t="s">
        <v>105</v>
      </c>
      <c r="E426" s="3">
        <v>11</v>
      </c>
    </row>
    <row r="427" spans="1:5" x14ac:dyDescent="0.15">
      <c r="A427" s="2" t="s">
        <v>4</v>
      </c>
      <c r="B427" s="2" t="s">
        <v>0</v>
      </c>
      <c r="C427" s="2">
        <v>1500</v>
      </c>
      <c r="D427" s="4" t="s">
        <v>106</v>
      </c>
      <c r="E427" s="3">
        <v>12.5</v>
      </c>
    </row>
    <row r="428" spans="1:5" x14ac:dyDescent="0.15">
      <c r="A428" s="2" t="s">
        <v>4</v>
      </c>
      <c r="B428" s="2" t="s">
        <v>0</v>
      </c>
      <c r="C428" s="2">
        <v>1500</v>
      </c>
      <c r="D428" s="4" t="s">
        <v>107</v>
      </c>
      <c r="E428" s="3">
        <v>14.2</v>
      </c>
    </row>
    <row r="429" spans="1:5" x14ac:dyDescent="0.15">
      <c r="A429" s="2" t="s">
        <v>4</v>
      </c>
      <c r="B429" s="2" t="s">
        <v>0</v>
      </c>
      <c r="C429" s="2">
        <v>1500</v>
      </c>
      <c r="D429" s="4" t="s">
        <v>108</v>
      </c>
      <c r="E429" s="3">
        <v>16</v>
      </c>
    </row>
    <row r="430" spans="1:5" x14ac:dyDescent="0.15">
      <c r="A430" s="2" t="s">
        <v>4</v>
      </c>
      <c r="B430" s="2" t="s">
        <v>0</v>
      </c>
      <c r="C430" s="2">
        <v>1500</v>
      </c>
      <c r="D430" s="4" t="s">
        <v>109</v>
      </c>
      <c r="E430" s="3">
        <v>17.5</v>
      </c>
    </row>
    <row r="431" spans="1:5" x14ac:dyDescent="0.15">
      <c r="A431" s="2" t="s">
        <v>4</v>
      </c>
      <c r="B431" s="2" t="s">
        <v>0</v>
      </c>
      <c r="C431" s="2">
        <v>1500</v>
      </c>
      <c r="D431" s="4" t="s">
        <v>110</v>
      </c>
      <c r="E431" s="3">
        <v>20</v>
      </c>
    </row>
    <row r="432" spans="1:5" x14ac:dyDescent="0.15">
      <c r="A432" s="2" t="s">
        <v>4</v>
      </c>
      <c r="B432" s="2" t="s">
        <v>0</v>
      </c>
      <c r="C432" s="2">
        <v>1600</v>
      </c>
      <c r="D432" s="4" t="s">
        <v>104</v>
      </c>
      <c r="E432" s="3">
        <v>10</v>
      </c>
    </row>
    <row r="433" spans="1:5" x14ac:dyDescent="0.15">
      <c r="A433" s="2" t="s">
        <v>4</v>
      </c>
      <c r="B433" s="2" t="s">
        <v>0</v>
      </c>
      <c r="C433" s="2">
        <v>1600</v>
      </c>
      <c r="D433" s="4" t="s">
        <v>105</v>
      </c>
      <c r="E433" s="3">
        <v>11</v>
      </c>
    </row>
    <row r="434" spans="1:5" x14ac:dyDescent="0.15">
      <c r="A434" s="2" t="s">
        <v>4</v>
      </c>
      <c r="B434" s="2" t="s">
        <v>0</v>
      </c>
      <c r="C434" s="2">
        <v>1600</v>
      </c>
      <c r="D434" s="4" t="s">
        <v>106</v>
      </c>
      <c r="E434" s="3">
        <v>12.5</v>
      </c>
    </row>
    <row r="435" spans="1:5" x14ac:dyDescent="0.15">
      <c r="A435" s="2" t="s">
        <v>4</v>
      </c>
      <c r="B435" s="2" t="s">
        <v>0</v>
      </c>
      <c r="C435" s="2">
        <v>1600</v>
      </c>
      <c r="D435" s="4" t="s">
        <v>107</v>
      </c>
      <c r="E435" s="3">
        <v>14.2</v>
      </c>
    </row>
    <row r="436" spans="1:5" x14ac:dyDescent="0.15">
      <c r="A436" s="2" t="s">
        <v>4</v>
      </c>
      <c r="B436" s="2" t="s">
        <v>0</v>
      </c>
      <c r="C436" s="2">
        <v>1600</v>
      </c>
      <c r="D436" s="4" t="s">
        <v>108</v>
      </c>
      <c r="E436" s="3">
        <v>16</v>
      </c>
    </row>
    <row r="437" spans="1:5" x14ac:dyDescent="0.15">
      <c r="A437" s="2" t="s">
        <v>4</v>
      </c>
      <c r="B437" s="2" t="s">
        <v>0</v>
      </c>
      <c r="C437" s="2">
        <v>1600</v>
      </c>
      <c r="D437" s="4" t="s">
        <v>109</v>
      </c>
      <c r="E437" s="3">
        <v>17.5</v>
      </c>
    </row>
    <row r="438" spans="1:5" x14ac:dyDescent="0.15">
      <c r="A438" s="2" t="s">
        <v>4</v>
      </c>
      <c r="B438" s="2" t="s">
        <v>0</v>
      </c>
      <c r="C438" s="2">
        <v>1600</v>
      </c>
      <c r="D438" s="4" t="s">
        <v>110</v>
      </c>
      <c r="E438" s="3">
        <v>20</v>
      </c>
    </row>
    <row r="439" spans="1:5" x14ac:dyDescent="0.15">
      <c r="A439" s="2" t="s">
        <v>4</v>
      </c>
      <c r="B439" s="2" t="s">
        <v>0</v>
      </c>
      <c r="C439" s="2">
        <v>1700</v>
      </c>
      <c r="D439" s="4" t="s">
        <v>106</v>
      </c>
      <c r="E439" s="3">
        <v>12.5</v>
      </c>
    </row>
    <row r="440" spans="1:5" x14ac:dyDescent="0.15">
      <c r="A440" s="2" t="s">
        <v>4</v>
      </c>
      <c r="B440" s="2" t="s">
        <v>0</v>
      </c>
      <c r="C440" s="2">
        <v>1700</v>
      </c>
      <c r="D440" s="4" t="s">
        <v>107</v>
      </c>
      <c r="E440" s="3">
        <v>14.2</v>
      </c>
    </row>
    <row r="441" spans="1:5" x14ac:dyDescent="0.15">
      <c r="A441" s="2" t="s">
        <v>4</v>
      </c>
      <c r="B441" s="2" t="s">
        <v>0</v>
      </c>
      <c r="C441" s="2">
        <v>1700</v>
      </c>
      <c r="D441" s="4" t="s">
        <v>108</v>
      </c>
      <c r="E441" s="3">
        <v>16</v>
      </c>
    </row>
    <row r="442" spans="1:5" x14ac:dyDescent="0.15">
      <c r="A442" s="2" t="s">
        <v>4</v>
      </c>
      <c r="B442" s="2" t="s">
        <v>0</v>
      </c>
      <c r="C442" s="2">
        <v>1700</v>
      </c>
      <c r="D442" s="4" t="s">
        <v>109</v>
      </c>
      <c r="E442" s="3">
        <v>17.5</v>
      </c>
    </row>
    <row r="443" spans="1:5" x14ac:dyDescent="0.15">
      <c r="A443" s="2" t="s">
        <v>4</v>
      </c>
      <c r="B443" s="2" t="s">
        <v>0</v>
      </c>
      <c r="C443" s="2">
        <v>1700</v>
      </c>
      <c r="D443" s="4" t="s">
        <v>110</v>
      </c>
      <c r="E443" s="3">
        <v>20</v>
      </c>
    </row>
    <row r="444" spans="1:5" x14ac:dyDescent="0.15">
      <c r="A444" s="2" t="s">
        <v>4</v>
      </c>
      <c r="B444" s="2" t="s">
        <v>0</v>
      </c>
      <c r="C444" s="2">
        <v>1800</v>
      </c>
      <c r="D444" s="4" t="s">
        <v>106</v>
      </c>
      <c r="E444" s="3">
        <v>12.5</v>
      </c>
    </row>
    <row r="445" spans="1:5" x14ac:dyDescent="0.15">
      <c r="A445" s="2" t="s">
        <v>4</v>
      </c>
      <c r="B445" s="2" t="s">
        <v>0</v>
      </c>
      <c r="C445" s="2">
        <v>1800</v>
      </c>
      <c r="D445" s="4" t="s">
        <v>107</v>
      </c>
      <c r="E445" s="3">
        <v>14.2</v>
      </c>
    </row>
    <row r="446" spans="1:5" x14ac:dyDescent="0.15">
      <c r="A446" s="2" t="s">
        <v>4</v>
      </c>
      <c r="B446" s="2" t="s">
        <v>0</v>
      </c>
      <c r="C446" s="2">
        <v>1800</v>
      </c>
      <c r="D446" s="4" t="s">
        <v>108</v>
      </c>
      <c r="E446" s="3">
        <v>16</v>
      </c>
    </row>
    <row r="447" spans="1:5" x14ac:dyDescent="0.15">
      <c r="A447" s="2" t="s">
        <v>4</v>
      </c>
      <c r="B447" s="2" t="s">
        <v>0</v>
      </c>
      <c r="C447" s="2">
        <v>1800</v>
      </c>
      <c r="D447" s="4" t="s">
        <v>109</v>
      </c>
      <c r="E447" s="3">
        <v>17.5</v>
      </c>
    </row>
    <row r="448" spans="1:5" x14ac:dyDescent="0.15">
      <c r="A448" s="2" t="s">
        <v>4</v>
      </c>
      <c r="B448" s="2" t="s">
        <v>0</v>
      </c>
      <c r="C448" s="2">
        <v>1800</v>
      </c>
      <c r="D448" s="4" t="s">
        <v>110</v>
      </c>
      <c r="E448" s="3">
        <v>20</v>
      </c>
    </row>
    <row r="449" spans="1:5" x14ac:dyDescent="0.15">
      <c r="A449" s="2" t="s">
        <v>4</v>
      </c>
      <c r="B449" s="2" t="s">
        <v>0</v>
      </c>
      <c r="C449" s="2">
        <v>1900</v>
      </c>
      <c r="D449" s="4" t="s">
        <v>106</v>
      </c>
      <c r="E449" s="3">
        <v>12.5</v>
      </c>
    </row>
    <row r="450" spans="1:5" x14ac:dyDescent="0.15">
      <c r="A450" s="2" t="s">
        <v>4</v>
      </c>
      <c r="B450" s="2" t="s">
        <v>0</v>
      </c>
      <c r="C450" s="2">
        <v>1900</v>
      </c>
      <c r="D450" s="4" t="s">
        <v>107</v>
      </c>
      <c r="E450" s="3">
        <v>14.2</v>
      </c>
    </row>
    <row r="451" spans="1:5" x14ac:dyDescent="0.15">
      <c r="A451" s="2" t="s">
        <v>4</v>
      </c>
      <c r="B451" s="2" t="s">
        <v>0</v>
      </c>
      <c r="C451" s="2">
        <v>1900</v>
      </c>
      <c r="D451" s="4" t="s">
        <v>108</v>
      </c>
      <c r="E451" s="3">
        <v>16</v>
      </c>
    </row>
    <row r="452" spans="1:5" x14ac:dyDescent="0.15">
      <c r="A452" s="2" t="s">
        <v>4</v>
      </c>
      <c r="B452" s="2" t="s">
        <v>0</v>
      </c>
      <c r="C452" s="2">
        <v>1900</v>
      </c>
      <c r="D452" s="4" t="s">
        <v>109</v>
      </c>
      <c r="E452" s="3">
        <v>17.5</v>
      </c>
    </row>
    <row r="453" spans="1:5" x14ac:dyDescent="0.15">
      <c r="A453" s="2" t="s">
        <v>4</v>
      </c>
      <c r="B453" s="2" t="s">
        <v>0</v>
      </c>
      <c r="C453" s="2">
        <v>1900</v>
      </c>
      <c r="D453" s="4" t="s">
        <v>110</v>
      </c>
      <c r="E453" s="3">
        <v>20</v>
      </c>
    </row>
    <row r="454" spans="1:5" x14ac:dyDescent="0.15">
      <c r="A454" s="2" t="s">
        <v>4</v>
      </c>
      <c r="B454" s="2" t="s">
        <v>0</v>
      </c>
      <c r="C454" s="2">
        <v>2000</v>
      </c>
      <c r="D454" s="4" t="s">
        <v>107</v>
      </c>
      <c r="E454" s="3">
        <v>14.2</v>
      </c>
    </row>
    <row r="455" spans="1:5" x14ac:dyDescent="0.15">
      <c r="A455" s="2" t="s">
        <v>4</v>
      </c>
      <c r="B455" s="2" t="s">
        <v>0</v>
      </c>
      <c r="C455" s="2">
        <v>2000</v>
      </c>
      <c r="D455" s="4" t="s">
        <v>108</v>
      </c>
      <c r="E455" s="3">
        <v>16</v>
      </c>
    </row>
    <row r="456" spans="1:5" x14ac:dyDescent="0.15">
      <c r="A456" s="2" t="s">
        <v>4</v>
      </c>
      <c r="B456" s="2" t="s">
        <v>0</v>
      </c>
      <c r="C456" s="2">
        <v>2000</v>
      </c>
      <c r="D456" s="4" t="s">
        <v>109</v>
      </c>
      <c r="E456" s="3">
        <v>17.5</v>
      </c>
    </row>
    <row r="457" spans="1:5" x14ac:dyDescent="0.15">
      <c r="A457" s="2" t="s">
        <v>4</v>
      </c>
      <c r="B457" s="2" t="s">
        <v>0</v>
      </c>
      <c r="C457" s="2">
        <v>2000</v>
      </c>
      <c r="D457" s="4" t="s">
        <v>110</v>
      </c>
      <c r="E457" s="3">
        <v>20</v>
      </c>
    </row>
    <row r="458" spans="1:5" x14ac:dyDescent="0.15">
      <c r="A458" s="12" t="s">
        <v>4</v>
      </c>
      <c r="B458" s="12" t="s">
        <v>1</v>
      </c>
      <c r="C458" s="12">
        <v>6</v>
      </c>
      <c r="D458" s="3" t="s">
        <v>111</v>
      </c>
      <c r="E458" s="3">
        <v>1.2</v>
      </c>
    </row>
    <row r="459" spans="1:5" x14ac:dyDescent="0.15">
      <c r="A459" s="12" t="s">
        <v>4</v>
      </c>
      <c r="B459" s="12" t="s">
        <v>1</v>
      </c>
      <c r="C459" s="12">
        <v>6</v>
      </c>
      <c r="D459" s="3" t="s">
        <v>112</v>
      </c>
      <c r="E459" s="3">
        <v>1.6</v>
      </c>
    </row>
    <row r="460" spans="1:5" x14ac:dyDescent="0.15">
      <c r="A460" s="12" t="s">
        <v>4</v>
      </c>
      <c r="B460" s="12" t="s">
        <v>1</v>
      </c>
      <c r="C460" s="12">
        <v>6</v>
      </c>
      <c r="D460" s="3" t="s">
        <v>113</v>
      </c>
      <c r="E460" s="3">
        <v>1.8</v>
      </c>
    </row>
    <row r="461" spans="1:5" x14ac:dyDescent="0.15">
      <c r="A461" s="12" t="s">
        <v>4</v>
      </c>
      <c r="B461" s="12" t="s">
        <v>1</v>
      </c>
      <c r="C461" s="12">
        <v>6</v>
      </c>
      <c r="D461" s="3" t="s">
        <v>114</v>
      </c>
      <c r="E461" s="3">
        <v>2</v>
      </c>
    </row>
    <row r="462" spans="1:5" x14ac:dyDescent="0.15">
      <c r="A462" s="12" t="s">
        <v>4</v>
      </c>
      <c r="B462" s="12" t="s">
        <v>1</v>
      </c>
      <c r="C462" s="12">
        <v>6</v>
      </c>
      <c r="D462" s="3" t="s">
        <v>115</v>
      </c>
      <c r="E462" s="3">
        <v>2.2000000000000002</v>
      </c>
    </row>
    <row r="463" spans="1:5" x14ac:dyDescent="0.15">
      <c r="A463" s="12" t="s">
        <v>4</v>
      </c>
      <c r="B463" s="12" t="s">
        <v>1</v>
      </c>
      <c r="C463" s="12">
        <v>6</v>
      </c>
      <c r="D463" s="3" t="s">
        <v>116</v>
      </c>
      <c r="E463" s="3">
        <v>2.5</v>
      </c>
    </row>
    <row r="464" spans="1:5" x14ac:dyDescent="0.15">
      <c r="A464" s="12" t="s">
        <v>4</v>
      </c>
      <c r="B464" s="12" t="s">
        <v>1</v>
      </c>
      <c r="C464" s="12">
        <v>8</v>
      </c>
      <c r="D464" s="3" t="s">
        <v>112</v>
      </c>
      <c r="E464" s="3">
        <v>1.6</v>
      </c>
    </row>
    <row r="465" spans="1:5" x14ac:dyDescent="0.15">
      <c r="A465" s="12" t="s">
        <v>4</v>
      </c>
      <c r="B465" s="12" t="s">
        <v>1</v>
      </c>
      <c r="C465" s="12">
        <v>8</v>
      </c>
      <c r="D465" s="3" t="s">
        <v>113</v>
      </c>
      <c r="E465" s="3">
        <v>1.8</v>
      </c>
    </row>
    <row r="466" spans="1:5" x14ac:dyDescent="0.15">
      <c r="A466" s="12" t="s">
        <v>4</v>
      </c>
      <c r="B466" s="12" t="s">
        <v>1</v>
      </c>
      <c r="C466" s="12">
        <v>8</v>
      </c>
      <c r="D466" s="3" t="s">
        <v>114</v>
      </c>
      <c r="E466" s="3">
        <v>2</v>
      </c>
    </row>
    <row r="467" spans="1:5" x14ac:dyDescent="0.15">
      <c r="A467" s="12" t="s">
        <v>4</v>
      </c>
      <c r="B467" s="12" t="s">
        <v>1</v>
      </c>
      <c r="C467" s="12">
        <v>8</v>
      </c>
      <c r="D467" s="3" t="s">
        <v>115</v>
      </c>
      <c r="E467" s="3">
        <v>2.2000000000000002</v>
      </c>
    </row>
    <row r="468" spans="1:5" x14ac:dyDescent="0.15">
      <c r="A468" s="12" t="s">
        <v>4</v>
      </c>
      <c r="B468" s="12" t="s">
        <v>1</v>
      </c>
      <c r="C468" s="12">
        <v>8</v>
      </c>
      <c r="D468" s="3" t="s">
        <v>116</v>
      </c>
      <c r="E468" s="3">
        <v>2.5</v>
      </c>
    </row>
    <row r="469" spans="1:5" x14ac:dyDescent="0.15">
      <c r="A469" s="12" t="s">
        <v>4</v>
      </c>
      <c r="B469" s="12" t="s">
        <v>1</v>
      </c>
      <c r="C469" s="12">
        <v>8</v>
      </c>
      <c r="D469" s="3" t="s">
        <v>117</v>
      </c>
      <c r="E469" s="3">
        <v>2.8</v>
      </c>
    </row>
    <row r="470" spans="1:5" x14ac:dyDescent="0.15">
      <c r="A470" s="12" t="s">
        <v>4</v>
      </c>
      <c r="B470" s="12" t="s">
        <v>1</v>
      </c>
      <c r="C470" s="12">
        <v>8</v>
      </c>
      <c r="D470" s="3" t="s">
        <v>118</v>
      </c>
      <c r="E470" s="3">
        <v>3</v>
      </c>
    </row>
    <row r="471" spans="1:5" x14ac:dyDescent="0.15">
      <c r="A471" s="12" t="s">
        <v>4</v>
      </c>
      <c r="B471" s="12" t="s">
        <v>1</v>
      </c>
      <c r="C471" s="12">
        <v>8</v>
      </c>
      <c r="D471" s="3" t="s">
        <v>119</v>
      </c>
      <c r="E471" s="3">
        <v>3.2</v>
      </c>
    </row>
    <row r="472" spans="1:5" x14ac:dyDescent="0.15">
      <c r="A472" s="12" t="s">
        <v>4</v>
      </c>
      <c r="B472" s="12" t="s">
        <v>1</v>
      </c>
      <c r="C472" s="12">
        <v>8</v>
      </c>
      <c r="D472" s="3" t="s">
        <v>120</v>
      </c>
      <c r="E472" s="3">
        <v>3.5</v>
      </c>
    </row>
    <row r="473" spans="1:5" x14ac:dyDescent="0.15">
      <c r="A473" s="12" t="s">
        <v>4</v>
      </c>
      <c r="B473" s="12" t="s">
        <v>1</v>
      </c>
      <c r="C473" s="12">
        <v>8</v>
      </c>
      <c r="D473" s="3" t="s">
        <v>121</v>
      </c>
      <c r="E473" s="3">
        <v>4</v>
      </c>
    </row>
    <row r="474" spans="1:5" x14ac:dyDescent="0.15">
      <c r="A474" s="12" t="s">
        <v>4</v>
      </c>
      <c r="B474" s="12" t="s">
        <v>1</v>
      </c>
      <c r="C474" s="12">
        <v>10</v>
      </c>
      <c r="D474" s="3" t="s">
        <v>112</v>
      </c>
      <c r="E474" s="3">
        <v>1.6</v>
      </c>
    </row>
    <row r="475" spans="1:5" x14ac:dyDescent="0.15">
      <c r="A475" s="12" t="s">
        <v>4</v>
      </c>
      <c r="B475" s="12" t="s">
        <v>1</v>
      </c>
      <c r="C475" s="12">
        <v>10</v>
      </c>
      <c r="D475" s="3" t="s">
        <v>113</v>
      </c>
      <c r="E475" s="3">
        <v>1.8</v>
      </c>
    </row>
    <row r="476" spans="1:5" x14ac:dyDescent="0.15">
      <c r="A476" s="12" t="s">
        <v>4</v>
      </c>
      <c r="B476" s="12" t="s">
        <v>1</v>
      </c>
      <c r="C476" s="12">
        <v>10</v>
      </c>
      <c r="D476" s="3" t="s">
        <v>114</v>
      </c>
      <c r="E476" s="3">
        <v>2</v>
      </c>
    </row>
    <row r="477" spans="1:5" x14ac:dyDescent="0.15">
      <c r="A477" s="12" t="s">
        <v>4</v>
      </c>
      <c r="B477" s="12" t="s">
        <v>1</v>
      </c>
      <c r="C477" s="12">
        <v>10</v>
      </c>
      <c r="D477" s="3" t="s">
        <v>115</v>
      </c>
      <c r="E477" s="3">
        <v>2.2000000000000002</v>
      </c>
    </row>
    <row r="478" spans="1:5" x14ac:dyDescent="0.15">
      <c r="A478" s="12" t="s">
        <v>4</v>
      </c>
      <c r="B478" s="12" t="s">
        <v>1</v>
      </c>
      <c r="C478" s="12">
        <v>10</v>
      </c>
      <c r="D478" s="3" t="s">
        <v>116</v>
      </c>
      <c r="E478" s="3">
        <v>2.5</v>
      </c>
    </row>
    <row r="479" spans="1:5" x14ac:dyDescent="0.15">
      <c r="A479" s="12" t="s">
        <v>4</v>
      </c>
      <c r="B479" s="12" t="s">
        <v>1</v>
      </c>
      <c r="C479" s="12">
        <v>10</v>
      </c>
      <c r="D479" s="3" t="s">
        <v>117</v>
      </c>
      <c r="E479" s="3">
        <v>2.8</v>
      </c>
    </row>
    <row r="480" spans="1:5" x14ac:dyDescent="0.15">
      <c r="A480" s="12" t="s">
        <v>4</v>
      </c>
      <c r="B480" s="12" t="s">
        <v>1</v>
      </c>
      <c r="C480" s="12">
        <v>10</v>
      </c>
      <c r="D480" s="3" t="s">
        <v>118</v>
      </c>
      <c r="E480" s="3">
        <v>3</v>
      </c>
    </row>
    <row r="481" spans="1:5" x14ac:dyDescent="0.15">
      <c r="A481" s="12" t="s">
        <v>4</v>
      </c>
      <c r="B481" s="12" t="s">
        <v>1</v>
      </c>
      <c r="C481" s="12">
        <v>10</v>
      </c>
      <c r="D481" s="3" t="s">
        <v>119</v>
      </c>
      <c r="E481" s="3">
        <v>3.2</v>
      </c>
    </row>
    <row r="482" spans="1:5" x14ac:dyDescent="0.15">
      <c r="A482" s="12" t="s">
        <v>4</v>
      </c>
      <c r="B482" s="12" t="s">
        <v>1</v>
      </c>
      <c r="C482" s="12">
        <v>10</v>
      </c>
      <c r="D482" s="3" t="s">
        <v>120</v>
      </c>
      <c r="E482" s="3">
        <v>3.5</v>
      </c>
    </row>
    <row r="483" spans="1:5" x14ac:dyDescent="0.15">
      <c r="A483" s="12" t="s">
        <v>4</v>
      </c>
      <c r="B483" s="12" t="s">
        <v>1</v>
      </c>
      <c r="C483" s="12">
        <v>10</v>
      </c>
      <c r="D483" s="3" t="s">
        <v>121</v>
      </c>
      <c r="E483" s="3">
        <v>4</v>
      </c>
    </row>
    <row r="484" spans="1:5" x14ac:dyDescent="0.15">
      <c r="A484" s="12" t="s">
        <v>4</v>
      </c>
      <c r="B484" s="12" t="s">
        <v>1</v>
      </c>
      <c r="C484" s="12">
        <v>10</v>
      </c>
      <c r="D484" s="3" t="s">
        <v>122</v>
      </c>
      <c r="E484" s="3">
        <v>4.5</v>
      </c>
    </row>
    <row r="485" spans="1:5" x14ac:dyDescent="0.15">
      <c r="A485" s="12" t="s">
        <v>4</v>
      </c>
      <c r="B485" s="12" t="s">
        <v>1</v>
      </c>
      <c r="C485" s="12">
        <v>15</v>
      </c>
      <c r="D485" s="3" t="s">
        <v>112</v>
      </c>
      <c r="E485" s="3">
        <v>1.6</v>
      </c>
    </row>
    <row r="486" spans="1:5" x14ac:dyDescent="0.15">
      <c r="A486" s="12" t="s">
        <v>4</v>
      </c>
      <c r="B486" s="12" t="s">
        <v>1</v>
      </c>
      <c r="C486" s="12">
        <v>15</v>
      </c>
      <c r="D486" s="3" t="s">
        <v>113</v>
      </c>
      <c r="E486" s="3">
        <v>1.8</v>
      </c>
    </row>
    <row r="487" spans="1:5" x14ac:dyDescent="0.15">
      <c r="A487" s="12" t="s">
        <v>4</v>
      </c>
      <c r="B487" s="12" t="s">
        <v>1</v>
      </c>
      <c r="C487" s="12">
        <v>15</v>
      </c>
      <c r="D487" s="3" t="s">
        <v>114</v>
      </c>
      <c r="E487" s="3">
        <v>2</v>
      </c>
    </row>
    <row r="488" spans="1:5" x14ac:dyDescent="0.15">
      <c r="A488" s="12" t="s">
        <v>4</v>
      </c>
      <c r="B488" s="12" t="s">
        <v>1</v>
      </c>
      <c r="C488" s="12">
        <v>15</v>
      </c>
      <c r="D488" s="3" t="s">
        <v>115</v>
      </c>
      <c r="E488" s="3">
        <v>2.2000000000000002</v>
      </c>
    </row>
    <row r="489" spans="1:5" x14ac:dyDescent="0.15">
      <c r="A489" s="12" t="s">
        <v>4</v>
      </c>
      <c r="B489" s="12" t="s">
        <v>1</v>
      </c>
      <c r="C489" s="12">
        <v>15</v>
      </c>
      <c r="D489" s="3" t="s">
        <v>116</v>
      </c>
      <c r="E489" s="3">
        <v>2.5</v>
      </c>
    </row>
    <row r="490" spans="1:5" x14ac:dyDescent="0.15">
      <c r="A490" s="12" t="s">
        <v>4</v>
      </c>
      <c r="B490" s="12" t="s">
        <v>1</v>
      </c>
      <c r="C490" s="12">
        <v>15</v>
      </c>
      <c r="D490" s="3" t="s">
        <v>117</v>
      </c>
      <c r="E490" s="3">
        <v>2.8</v>
      </c>
    </row>
    <row r="491" spans="1:5" x14ac:dyDescent="0.15">
      <c r="A491" s="12" t="s">
        <v>4</v>
      </c>
      <c r="B491" s="12" t="s">
        <v>1</v>
      </c>
      <c r="C491" s="12">
        <v>15</v>
      </c>
      <c r="D491" s="3" t="s">
        <v>118</v>
      </c>
      <c r="E491" s="3">
        <v>3</v>
      </c>
    </row>
    <row r="492" spans="1:5" x14ac:dyDescent="0.15">
      <c r="A492" s="12" t="s">
        <v>4</v>
      </c>
      <c r="B492" s="12" t="s">
        <v>1</v>
      </c>
      <c r="C492" s="12">
        <v>15</v>
      </c>
      <c r="D492" s="3" t="s">
        <v>119</v>
      </c>
      <c r="E492" s="3">
        <v>3.2</v>
      </c>
    </row>
    <row r="493" spans="1:5" x14ac:dyDescent="0.15">
      <c r="A493" s="12" t="s">
        <v>4</v>
      </c>
      <c r="B493" s="12" t="s">
        <v>1</v>
      </c>
      <c r="C493" s="12">
        <v>15</v>
      </c>
      <c r="D493" s="3" t="s">
        <v>120</v>
      </c>
      <c r="E493" s="3">
        <v>3.5</v>
      </c>
    </row>
    <row r="494" spans="1:5" x14ac:dyDescent="0.15">
      <c r="A494" s="12" t="s">
        <v>4</v>
      </c>
      <c r="B494" s="12" t="s">
        <v>1</v>
      </c>
      <c r="C494" s="12">
        <v>15</v>
      </c>
      <c r="D494" s="3" t="s">
        <v>121</v>
      </c>
      <c r="E494" s="3">
        <v>4</v>
      </c>
    </row>
    <row r="495" spans="1:5" x14ac:dyDescent="0.15">
      <c r="A495" s="12" t="s">
        <v>4</v>
      </c>
      <c r="B495" s="12" t="s">
        <v>1</v>
      </c>
      <c r="C495" s="12">
        <v>15</v>
      </c>
      <c r="D495" s="3" t="s">
        <v>122</v>
      </c>
      <c r="E495" s="3">
        <v>4.5</v>
      </c>
    </row>
    <row r="496" spans="1:5" x14ac:dyDescent="0.15">
      <c r="A496" s="12" t="s">
        <v>4</v>
      </c>
      <c r="B496" s="12" t="s">
        <v>1</v>
      </c>
      <c r="C496" s="12">
        <v>15</v>
      </c>
      <c r="D496" s="3" t="s">
        <v>123</v>
      </c>
      <c r="E496" s="3">
        <v>5</v>
      </c>
    </row>
    <row r="497" spans="1:5" x14ac:dyDescent="0.15">
      <c r="A497" s="12" t="s">
        <v>4</v>
      </c>
      <c r="B497" s="12" t="s">
        <v>1</v>
      </c>
      <c r="C497" s="12">
        <v>20</v>
      </c>
      <c r="D497" s="3" t="s">
        <v>112</v>
      </c>
      <c r="E497" s="3">
        <v>1.6</v>
      </c>
    </row>
    <row r="498" spans="1:5" x14ac:dyDescent="0.15">
      <c r="A498" s="12" t="s">
        <v>4</v>
      </c>
      <c r="B498" s="12" t="s">
        <v>1</v>
      </c>
      <c r="C498" s="12">
        <v>20</v>
      </c>
      <c r="D498" s="3" t="s">
        <v>113</v>
      </c>
      <c r="E498" s="3">
        <v>1.8</v>
      </c>
    </row>
    <row r="499" spans="1:5" x14ac:dyDescent="0.15">
      <c r="A499" s="12" t="s">
        <v>4</v>
      </c>
      <c r="B499" s="12" t="s">
        <v>1</v>
      </c>
      <c r="C499" s="12">
        <v>20</v>
      </c>
      <c r="D499" s="3" t="s">
        <v>114</v>
      </c>
      <c r="E499" s="3">
        <v>2</v>
      </c>
    </row>
    <row r="500" spans="1:5" x14ac:dyDescent="0.15">
      <c r="A500" s="12" t="s">
        <v>4</v>
      </c>
      <c r="B500" s="12" t="s">
        <v>1</v>
      </c>
      <c r="C500" s="12">
        <v>20</v>
      </c>
      <c r="D500" s="3" t="s">
        <v>115</v>
      </c>
      <c r="E500" s="3">
        <v>2.2000000000000002</v>
      </c>
    </row>
    <row r="501" spans="1:5" x14ac:dyDescent="0.15">
      <c r="A501" s="12" t="s">
        <v>4</v>
      </c>
      <c r="B501" s="12" t="s">
        <v>1</v>
      </c>
      <c r="C501" s="12">
        <v>20</v>
      </c>
      <c r="D501" s="3" t="s">
        <v>116</v>
      </c>
      <c r="E501" s="3">
        <v>2.5</v>
      </c>
    </row>
    <row r="502" spans="1:5" x14ac:dyDescent="0.15">
      <c r="A502" s="12" t="s">
        <v>4</v>
      </c>
      <c r="B502" s="12" t="s">
        <v>1</v>
      </c>
      <c r="C502" s="12">
        <v>20</v>
      </c>
      <c r="D502" s="3" t="s">
        <v>117</v>
      </c>
      <c r="E502" s="3">
        <v>2.8</v>
      </c>
    </row>
    <row r="503" spans="1:5" x14ac:dyDescent="0.15">
      <c r="A503" s="12" t="s">
        <v>4</v>
      </c>
      <c r="B503" s="12" t="s">
        <v>1</v>
      </c>
      <c r="C503" s="12">
        <v>20</v>
      </c>
      <c r="D503" s="3" t="s">
        <v>118</v>
      </c>
      <c r="E503" s="3">
        <v>3</v>
      </c>
    </row>
    <row r="504" spans="1:5" x14ac:dyDescent="0.15">
      <c r="A504" s="12" t="s">
        <v>4</v>
      </c>
      <c r="B504" s="12" t="s">
        <v>1</v>
      </c>
      <c r="C504" s="12">
        <v>20</v>
      </c>
      <c r="D504" s="3" t="s">
        <v>119</v>
      </c>
      <c r="E504" s="3">
        <v>3.2</v>
      </c>
    </row>
    <row r="505" spans="1:5" x14ac:dyDescent="0.15">
      <c r="A505" s="12" t="s">
        <v>4</v>
      </c>
      <c r="B505" s="12" t="s">
        <v>1</v>
      </c>
      <c r="C505" s="12">
        <v>20</v>
      </c>
      <c r="D505" s="3" t="s">
        <v>120</v>
      </c>
      <c r="E505" s="3">
        <v>3.5</v>
      </c>
    </row>
    <row r="506" spans="1:5" x14ac:dyDescent="0.15">
      <c r="A506" s="12" t="s">
        <v>4</v>
      </c>
      <c r="B506" s="12" t="s">
        <v>1</v>
      </c>
      <c r="C506" s="12">
        <v>20</v>
      </c>
      <c r="D506" s="3" t="s">
        <v>121</v>
      </c>
      <c r="E506" s="3">
        <v>4</v>
      </c>
    </row>
    <row r="507" spans="1:5" x14ac:dyDescent="0.15">
      <c r="A507" s="12" t="s">
        <v>4</v>
      </c>
      <c r="B507" s="12" t="s">
        <v>1</v>
      </c>
      <c r="C507" s="12">
        <v>20</v>
      </c>
      <c r="D507" s="3" t="s">
        <v>122</v>
      </c>
      <c r="E507" s="3">
        <v>4.5</v>
      </c>
    </row>
    <row r="508" spans="1:5" x14ac:dyDescent="0.15">
      <c r="A508" s="12" t="s">
        <v>4</v>
      </c>
      <c r="B508" s="12" t="s">
        <v>1</v>
      </c>
      <c r="C508" s="12">
        <v>20</v>
      </c>
      <c r="D508" s="3" t="s">
        <v>123</v>
      </c>
      <c r="E508" s="3">
        <v>5</v>
      </c>
    </row>
    <row r="509" spans="1:5" x14ac:dyDescent="0.15">
      <c r="A509" s="12" t="s">
        <v>4</v>
      </c>
      <c r="B509" s="12" t="s">
        <v>1</v>
      </c>
      <c r="C509" s="12">
        <v>20</v>
      </c>
      <c r="D509" s="3" t="s">
        <v>124</v>
      </c>
      <c r="E509" s="3">
        <v>5.5</v>
      </c>
    </row>
    <row r="510" spans="1:5" x14ac:dyDescent="0.15">
      <c r="A510" s="12" t="s">
        <v>4</v>
      </c>
      <c r="B510" s="12" t="s">
        <v>1</v>
      </c>
      <c r="C510" s="12">
        <v>20</v>
      </c>
      <c r="D510" s="3" t="s">
        <v>125</v>
      </c>
      <c r="E510" s="3">
        <v>6</v>
      </c>
    </row>
    <row r="511" spans="1:5" x14ac:dyDescent="0.15">
      <c r="A511" s="12" t="s">
        <v>4</v>
      </c>
      <c r="B511" s="12" t="s">
        <v>1</v>
      </c>
      <c r="C511" s="12">
        <v>25</v>
      </c>
      <c r="D511" s="3" t="s">
        <v>112</v>
      </c>
      <c r="E511" s="3">
        <v>1.6</v>
      </c>
    </row>
    <row r="512" spans="1:5" x14ac:dyDescent="0.15">
      <c r="A512" s="12" t="s">
        <v>4</v>
      </c>
      <c r="B512" s="12" t="s">
        <v>1</v>
      </c>
      <c r="C512" s="12">
        <v>25</v>
      </c>
      <c r="D512" s="3" t="s">
        <v>113</v>
      </c>
      <c r="E512" s="3">
        <v>1.8</v>
      </c>
    </row>
    <row r="513" spans="1:5" x14ac:dyDescent="0.15">
      <c r="A513" s="12" t="s">
        <v>4</v>
      </c>
      <c r="B513" s="12" t="s">
        <v>1</v>
      </c>
      <c r="C513" s="12">
        <v>25</v>
      </c>
      <c r="D513" s="3" t="s">
        <v>114</v>
      </c>
      <c r="E513" s="3">
        <v>2</v>
      </c>
    </row>
    <row r="514" spans="1:5" x14ac:dyDescent="0.15">
      <c r="A514" s="12" t="s">
        <v>4</v>
      </c>
      <c r="B514" s="12" t="s">
        <v>1</v>
      </c>
      <c r="C514" s="12">
        <v>25</v>
      </c>
      <c r="D514" s="3" t="s">
        <v>115</v>
      </c>
      <c r="E514" s="3">
        <v>2.2000000000000002</v>
      </c>
    </row>
    <row r="515" spans="1:5" x14ac:dyDescent="0.15">
      <c r="A515" s="12" t="s">
        <v>4</v>
      </c>
      <c r="B515" s="12" t="s">
        <v>1</v>
      </c>
      <c r="C515" s="12">
        <v>25</v>
      </c>
      <c r="D515" s="3" t="s">
        <v>116</v>
      </c>
      <c r="E515" s="3">
        <v>2.5</v>
      </c>
    </row>
    <row r="516" spans="1:5" x14ac:dyDescent="0.15">
      <c r="A516" s="12" t="s">
        <v>4</v>
      </c>
      <c r="B516" s="12" t="s">
        <v>1</v>
      </c>
      <c r="C516" s="12">
        <v>25</v>
      </c>
      <c r="D516" s="3" t="s">
        <v>117</v>
      </c>
      <c r="E516" s="3">
        <v>2.8</v>
      </c>
    </row>
    <row r="517" spans="1:5" x14ac:dyDescent="0.15">
      <c r="A517" s="12" t="s">
        <v>4</v>
      </c>
      <c r="B517" s="12" t="s">
        <v>1</v>
      </c>
      <c r="C517" s="12">
        <v>25</v>
      </c>
      <c r="D517" s="3" t="s">
        <v>118</v>
      </c>
      <c r="E517" s="3">
        <v>3</v>
      </c>
    </row>
    <row r="518" spans="1:5" x14ac:dyDescent="0.15">
      <c r="A518" s="12" t="s">
        <v>4</v>
      </c>
      <c r="B518" s="12" t="s">
        <v>1</v>
      </c>
      <c r="C518" s="12">
        <v>25</v>
      </c>
      <c r="D518" s="3" t="s">
        <v>119</v>
      </c>
      <c r="E518" s="3">
        <v>3.2</v>
      </c>
    </row>
    <row r="519" spans="1:5" x14ac:dyDescent="0.15">
      <c r="A519" s="12" t="s">
        <v>4</v>
      </c>
      <c r="B519" s="12" t="s">
        <v>1</v>
      </c>
      <c r="C519" s="12">
        <v>25</v>
      </c>
      <c r="D519" s="3" t="s">
        <v>120</v>
      </c>
      <c r="E519" s="3">
        <v>3.5</v>
      </c>
    </row>
    <row r="520" spans="1:5" x14ac:dyDescent="0.15">
      <c r="A520" s="12" t="s">
        <v>4</v>
      </c>
      <c r="B520" s="12" t="s">
        <v>1</v>
      </c>
      <c r="C520" s="12">
        <v>25</v>
      </c>
      <c r="D520" s="3" t="s">
        <v>121</v>
      </c>
      <c r="E520" s="3">
        <v>4</v>
      </c>
    </row>
    <row r="521" spans="1:5" x14ac:dyDescent="0.15">
      <c r="A521" s="12" t="s">
        <v>4</v>
      </c>
      <c r="B521" s="12" t="s">
        <v>1</v>
      </c>
      <c r="C521" s="12">
        <v>25</v>
      </c>
      <c r="D521" s="3" t="s">
        <v>122</v>
      </c>
      <c r="E521" s="3">
        <v>4.5</v>
      </c>
    </row>
    <row r="522" spans="1:5" x14ac:dyDescent="0.15">
      <c r="A522" s="12" t="s">
        <v>4</v>
      </c>
      <c r="B522" s="12" t="s">
        <v>1</v>
      </c>
      <c r="C522" s="12">
        <v>25</v>
      </c>
      <c r="D522" s="3" t="s">
        <v>123</v>
      </c>
      <c r="E522" s="3">
        <v>5</v>
      </c>
    </row>
    <row r="523" spans="1:5" x14ac:dyDescent="0.15">
      <c r="A523" s="12" t="s">
        <v>4</v>
      </c>
      <c r="B523" s="12" t="s">
        <v>1</v>
      </c>
      <c r="C523" s="12">
        <v>25</v>
      </c>
      <c r="D523" s="3" t="s">
        <v>124</v>
      </c>
      <c r="E523" s="3">
        <v>5.5</v>
      </c>
    </row>
    <row r="524" spans="1:5" x14ac:dyDescent="0.15">
      <c r="A524" s="12" t="s">
        <v>4</v>
      </c>
      <c r="B524" s="12" t="s">
        <v>1</v>
      </c>
      <c r="C524" s="12">
        <v>25</v>
      </c>
      <c r="D524" s="3" t="s">
        <v>125</v>
      </c>
      <c r="E524" s="3">
        <v>6</v>
      </c>
    </row>
    <row r="525" spans="1:5" x14ac:dyDescent="0.15">
      <c r="A525" s="12" t="s">
        <v>4</v>
      </c>
      <c r="B525" s="12" t="s">
        <v>1</v>
      </c>
      <c r="C525" s="12">
        <v>25</v>
      </c>
      <c r="D525" s="3" t="s">
        <v>126</v>
      </c>
      <c r="E525" s="3">
        <v>6.5</v>
      </c>
    </row>
    <row r="526" spans="1:5" x14ac:dyDescent="0.15">
      <c r="A526" s="12" t="s">
        <v>4</v>
      </c>
      <c r="B526" s="12" t="s">
        <v>1</v>
      </c>
      <c r="C526" s="12">
        <v>32</v>
      </c>
      <c r="D526" s="3" t="s">
        <v>112</v>
      </c>
      <c r="E526" s="3">
        <v>1.6</v>
      </c>
    </row>
    <row r="527" spans="1:5" x14ac:dyDescent="0.15">
      <c r="A527" s="12" t="s">
        <v>4</v>
      </c>
      <c r="B527" s="12" t="s">
        <v>1</v>
      </c>
      <c r="C527" s="12">
        <v>32</v>
      </c>
      <c r="D527" s="3" t="s">
        <v>113</v>
      </c>
      <c r="E527" s="3">
        <v>1.8</v>
      </c>
    </row>
    <row r="528" spans="1:5" x14ac:dyDescent="0.15">
      <c r="A528" s="12" t="s">
        <v>4</v>
      </c>
      <c r="B528" s="12" t="s">
        <v>1</v>
      </c>
      <c r="C528" s="12">
        <v>32</v>
      </c>
      <c r="D528" s="3" t="s">
        <v>114</v>
      </c>
      <c r="E528" s="3">
        <v>2</v>
      </c>
    </row>
    <row r="529" spans="1:5" x14ac:dyDescent="0.15">
      <c r="A529" s="12" t="s">
        <v>4</v>
      </c>
      <c r="B529" s="12" t="s">
        <v>1</v>
      </c>
      <c r="C529" s="12">
        <v>32</v>
      </c>
      <c r="D529" s="3" t="s">
        <v>115</v>
      </c>
      <c r="E529" s="3">
        <v>2.2000000000000002</v>
      </c>
    </row>
    <row r="530" spans="1:5" x14ac:dyDescent="0.15">
      <c r="A530" s="12" t="s">
        <v>4</v>
      </c>
      <c r="B530" s="12" t="s">
        <v>1</v>
      </c>
      <c r="C530" s="12">
        <v>32</v>
      </c>
      <c r="D530" s="3" t="s">
        <v>116</v>
      </c>
      <c r="E530" s="3">
        <v>2.5</v>
      </c>
    </row>
    <row r="531" spans="1:5" x14ac:dyDescent="0.15">
      <c r="A531" s="12" t="s">
        <v>4</v>
      </c>
      <c r="B531" s="12" t="s">
        <v>1</v>
      </c>
      <c r="C531" s="12">
        <v>32</v>
      </c>
      <c r="D531" s="3" t="s">
        <v>117</v>
      </c>
      <c r="E531" s="3">
        <v>2.8</v>
      </c>
    </row>
    <row r="532" spans="1:5" x14ac:dyDescent="0.15">
      <c r="A532" s="12" t="s">
        <v>4</v>
      </c>
      <c r="B532" s="12" t="s">
        <v>1</v>
      </c>
      <c r="C532" s="12">
        <v>32</v>
      </c>
      <c r="D532" s="3" t="s">
        <v>118</v>
      </c>
      <c r="E532" s="3">
        <v>3</v>
      </c>
    </row>
    <row r="533" spans="1:5" x14ac:dyDescent="0.15">
      <c r="A533" s="12" t="s">
        <v>4</v>
      </c>
      <c r="B533" s="12" t="s">
        <v>1</v>
      </c>
      <c r="C533" s="12">
        <v>32</v>
      </c>
      <c r="D533" s="3" t="s">
        <v>119</v>
      </c>
      <c r="E533" s="3">
        <v>3.2</v>
      </c>
    </row>
    <row r="534" spans="1:5" x14ac:dyDescent="0.15">
      <c r="A534" s="12" t="s">
        <v>4</v>
      </c>
      <c r="B534" s="12" t="s">
        <v>1</v>
      </c>
      <c r="C534" s="12">
        <v>32</v>
      </c>
      <c r="D534" s="3" t="s">
        <v>120</v>
      </c>
      <c r="E534" s="3">
        <v>3.5</v>
      </c>
    </row>
    <row r="535" spans="1:5" x14ac:dyDescent="0.15">
      <c r="A535" s="12" t="s">
        <v>4</v>
      </c>
      <c r="B535" s="12" t="s">
        <v>1</v>
      </c>
      <c r="C535" s="12">
        <v>32</v>
      </c>
      <c r="D535" s="3" t="s">
        <v>121</v>
      </c>
      <c r="E535" s="3">
        <v>4</v>
      </c>
    </row>
    <row r="536" spans="1:5" x14ac:dyDescent="0.15">
      <c r="A536" s="12" t="s">
        <v>4</v>
      </c>
      <c r="B536" s="12" t="s">
        <v>1</v>
      </c>
      <c r="C536" s="12">
        <v>32</v>
      </c>
      <c r="D536" s="3" t="s">
        <v>122</v>
      </c>
      <c r="E536" s="3">
        <v>4.5</v>
      </c>
    </row>
    <row r="537" spans="1:5" x14ac:dyDescent="0.15">
      <c r="A537" s="12" t="s">
        <v>4</v>
      </c>
      <c r="B537" s="12" t="s">
        <v>1</v>
      </c>
      <c r="C537" s="12">
        <v>32</v>
      </c>
      <c r="D537" s="3" t="s">
        <v>123</v>
      </c>
      <c r="E537" s="3">
        <v>5</v>
      </c>
    </row>
    <row r="538" spans="1:5" x14ac:dyDescent="0.15">
      <c r="A538" s="12" t="s">
        <v>4</v>
      </c>
      <c r="B538" s="12" t="s">
        <v>1</v>
      </c>
      <c r="C538" s="12">
        <v>32</v>
      </c>
      <c r="D538" s="3" t="s">
        <v>124</v>
      </c>
      <c r="E538" s="3">
        <v>5.5</v>
      </c>
    </row>
    <row r="539" spans="1:5" x14ac:dyDescent="0.15">
      <c r="A539" s="12" t="s">
        <v>4</v>
      </c>
      <c r="B539" s="12" t="s">
        <v>1</v>
      </c>
      <c r="C539" s="12">
        <v>32</v>
      </c>
      <c r="D539" s="3" t="s">
        <v>125</v>
      </c>
      <c r="E539" s="3">
        <v>6</v>
      </c>
    </row>
    <row r="540" spans="1:5" x14ac:dyDescent="0.15">
      <c r="A540" s="12" t="s">
        <v>4</v>
      </c>
      <c r="B540" s="12" t="s">
        <v>1</v>
      </c>
      <c r="C540" s="12">
        <v>32</v>
      </c>
      <c r="D540" s="3" t="s">
        <v>126</v>
      </c>
      <c r="E540" s="3">
        <v>6.5</v>
      </c>
    </row>
    <row r="541" spans="1:5" x14ac:dyDescent="0.15">
      <c r="A541" s="12" t="s">
        <v>4</v>
      </c>
      <c r="B541" s="12" t="s">
        <v>1</v>
      </c>
      <c r="C541" s="12">
        <v>40</v>
      </c>
      <c r="D541" s="3" t="s">
        <v>112</v>
      </c>
      <c r="E541" s="3">
        <v>1.6</v>
      </c>
    </row>
    <row r="542" spans="1:5" x14ac:dyDescent="0.15">
      <c r="A542" s="12" t="s">
        <v>4</v>
      </c>
      <c r="B542" s="12" t="s">
        <v>1</v>
      </c>
      <c r="C542" s="12">
        <v>40</v>
      </c>
      <c r="D542" s="3" t="s">
        <v>113</v>
      </c>
      <c r="E542" s="3">
        <v>1.8</v>
      </c>
    </row>
    <row r="543" spans="1:5" x14ac:dyDescent="0.15">
      <c r="A543" s="12" t="s">
        <v>4</v>
      </c>
      <c r="B543" s="12" t="s">
        <v>1</v>
      </c>
      <c r="C543" s="12">
        <v>40</v>
      </c>
      <c r="D543" s="3" t="s">
        <v>114</v>
      </c>
      <c r="E543" s="3">
        <v>2</v>
      </c>
    </row>
    <row r="544" spans="1:5" x14ac:dyDescent="0.15">
      <c r="A544" s="12" t="s">
        <v>4</v>
      </c>
      <c r="B544" s="12" t="s">
        <v>1</v>
      </c>
      <c r="C544" s="12">
        <v>40</v>
      </c>
      <c r="D544" s="3" t="s">
        <v>115</v>
      </c>
      <c r="E544" s="3">
        <v>2.2000000000000002</v>
      </c>
    </row>
    <row r="545" spans="1:5" x14ac:dyDescent="0.15">
      <c r="A545" s="12" t="s">
        <v>4</v>
      </c>
      <c r="B545" s="12" t="s">
        <v>1</v>
      </c>
      <c r="C545" s="12">
        <v>40</v>
      </c>
      <c r="D545" s="3" t="s">
        <v>116</v>
      </c>
      <c r="E545" s="3">
        <v>2.5</v>
      </c>
    </row>
    <row r="546" spans="1:5" x14ac:dyDescent="0.15">
      <c r="A546" s="12" t="s">
        <v>4</v>
      </c>
      <c r="B546" s="12" t="s">
        <v>1</v>
      </c>
      <c r="C546" s="12">
        <v>40</v>
      </c>
      <c r="D546" s="3" t="s">
        <v>117</v>
      </c>
      <c r="E546" s="3">
        <v>2.8</v>
      </c>
    </row>
    <row r="547" spans="1:5" x14ac:dyDescent="0.15">
      <c r="A547" s="12" t="s">
        <v>4</v>
      </c>
      <c r="B547" s="12" t="s">
        <v>1</v>
      </c>
      <c r="C547" s="12">
        <v>40</v>
      </c>
      <c r="D547" s="3" t="s">
        <v>118</v>
      </c>
      <c r="E547" s="3">
        <v>3</v>
      </c>
    </row>
    <row r="548" spans="1:5" x14ac:dyDescent="0.15">
      <c r="A548" s="12" t="s">
        <v>4</v>
      </c>
      <c r="B548" s="12" t="s">
        <v>1</v>
      </c>
      <c r="C548" s="12">
        <v>40</v>
      </c>
      <c r="D548" s="3" t="s">
        <v>119</v>
      </c>
      <c r="E548" s="3">
        <v>3.2</v>
      </c>
    </row>
    <row r="549" spans="1:5" x14ac:dyDescent="0.15">
      <c r="A549" s="12" t="s">
        <v>4</v>
      </c>
      <c r="B549" s="12" t="s">
        <v>1</v>
      </c>
      <c r="C549" s="12">
        <v>40</v>
      </c>
      <c r="D549" s="3" t="s">
        <v>120</v>
      </c>
      <c r="E549" s="3">
        <v>3.5</v>
      </c>
    </row>
    <row r="550" spans="1:5" x14ac:dyDescent="0.15">
      <c r="A550" s="12" t="s">
        <v>4</v>
      </c>
      <c r="B550" s="12" t="s">
        <v>1</v>
      </c>
      <c r="C550" s="12">
        <v>40</v>
      </c>
      <c r="D550" s="3" t="s">
        <v>121</v>
      </c>
      <c r="E550" s="3">
        <v>4</v>
      </c>
    </row>
    <row r="551" spans="1:5" x14ac:dyDescent="0.15">
      <c r="A551" s="12" t="s">
        <v>4</v>
      </c>
      <c r="B551" s="12" t="s">
        <v>1</v>
      </c>
      <c r="C551" s="12">
        <v>40</v>
      </c>
      <c r="D551" s="3" t="s">
        <v>122</v>
      </c>
      <c r="E551" s="3">
        <v>4.5</v>
      </c>
    </row>
    <row r="552" spans="1:5" x14ac:dyDescent="0.15">
      <c r="A552" s="12" t="s">
        <v>4</v>
      </c>
      <c r="B552" s="12" t="s">
        <v>1</v>
      </c>
      <c r="C552" s="12">
        <v>40</v>
      </c>
      <c r="D552" s="3" t="s">
        <v>123</v>
      </c>
      <c r="E552" s="3">
        <v>5</v>
      </c>
    </row>
    <row r="553" spans="1:5" x14ac:dyDescent="0.15">
      <c r="A553" s="12" t="s">
        <v>4</v>
      </c>
      <c r="B553" s="12" t="s">
        <v>1</v>
      </c>
      <c r="C553" s="12">
        <v>40</v>
      </c>
      <c r="D553" s="3" t="s">
        <v>124</v>
      </c>
      <c r="E553" s="3">
        <v>5.5</v>
      </c>
    </row>
    <row r="554" spans="1:5" x14ac:dyDescent="0.15">
      <c r="A554" s="12" t="s">
        <v>4</v>
      </c>
      <c r="B554" s="12" t="s">
        <v>1</v>
      </c>
      <c r="C554" s="12">
        <v>40</v>
      </c>
      <c r="D554" s="3" t="s">
        <v>125</v>
      </c>
      <c r="E554" s="3">
        <v>6</v>
      </c>
    </row>
    <row r="555" spans="1:5" x14ac:dyDescent="0.15">
      <c r="A555" s="12" t="s">
        <v>4</v>
      </c>
      <c r="B555" s="12" t="s">
        <v>1</v>
      </c>
      <c r="C555" s="12">
        <v>40</v>
      </c>
      <c r="D555" s="3" t="s">
        <v>126</v>
      </c>
      <c r="E555" s="3">
        <v>6.5</v>
      </c>
    </row>
    <row r="556" spans="1:5" x14ac:dyDescent="0.15">
      <c r="A556" s="12" t="s">
        <v>4</v>
      </c>
      <c r="B556" s="12" t="s">
        <v>1</v>
      </c>
      <c r="C556" s="12">
        <v>40</v>
      </c>
      <c r="D556" s="3" t="s">
        <v>127</v>
      </c>
      <c r="E556" s="3">
        <v>7</v>
      </c>
    </row>
    <row r="557" spans="1:5" x14ac:dyDescent="0.15">
      <c r="A557" s="12" t="s">
        <v>4</v>
      </c>
      <c r="B557" s="12" t="s">
        <v>1</v>
      </c>
      <c r="C557" s="12">
        <v>50</v>
      </c>
      <c r="D557" s="3" t="s">
        <v>112</v>
      </c>
      <c r="E557" s="3">
        <v>1.6</v>
      </c>
    </row>
    <row r="558" spans="1:5" x14ac:dyDescent="0.15">
      <c r="A558" s="12" t="s">
        <v>4</v>
      </c>
      <c r="B558" s="12" t="s">
        <v>1</v>
      </c>
      <c r="C558" s="12">
        <v>50</v>
      </c>
      <c r="D558" s="3" t="s">
        <v>113</v>
      </c>
      <c r="E558" s="3">
        <v>1.8</v>
      </c>
    </row>
    <row r="559" spans="1:5" x14ac:dyDescent="0.15">
      <c r="A559" s="12" t="s">
        <v>4</v>
      </c>
      <c r="B559" s="12" t="s">
        <v>1</v>
      </c>
      <c r="C559" s="12">
        <v>50</v>
      </c>
      <c r="D559" s="3" t="s">
        <v>114</v>
      </c>
      <c r="E559" s="3">
        <v>2</v>
      </c>
    </row>
    <row r="560" spans="1:5" x14ac:dyDescent="0.15">
      <c r="A560" s="12" t="s">
        <v>4</v>
      </c>
      <c r="B560" s="12" t="s">
        <v>1</v>
      </c>
      <c r="C560" s="12">
        <v>50</v>
      </c>
      <c r="D560" s="3" t="s">
        <v>115</v>
      </c>
      <c r="E560" s="3">
        <v>2.2000000000000002</v>
      </c>
    </row>
    <row r="561" spans="1:5" x14ac:dyDescent="0.15">
      <c r="A561" s="12" t="s">
        <v>4</v>
      </c>
      <c r="B561" s="12" t="s">
        <v>1</v>
      </c>
      <c r="C561" s="12">
        <v>50</v>
      </c>
      <c r="D561" s="3" t="s">
        <v>116</v>
      </c>
      <c r="E561" s="3">
        <v>2.5</v>
      </c>
    </row>
    <row r="562" spans="1:5" x14ac:dyDescent="0.15">
      <c r="A562" s="12" t="s">
        <v>4</v>
      </c>
      <c r="B562" s="12" t="s">
        <v>1</v>
      </c>
      <c r="C562" s="12">
        <v>50</v>
      </c>
      <c r="D562" s="3" t="s">
        <v>117</v>
      </c>
      <c r="E562" s="3">
        <v>2.8</v>
      </c>
    </row>
    <row r="563" spans="1:5" x14ac:dyDescent="0.15">
      <c r="A563" s="12" t="s">
        <v>4</v>
      </c>
      <c r="B563" s="12" t="s">
        <v>1</v>
      </c>
      <c r="C563" s="12">
        <v>50</v>
      </c>
      <c r="D563" s="3" t="s">
        <v>118</v>
      </c>
      <c r="E563" s="3">
        <v>3</v>
      </c>
    </row>
    <row r="564" spans="1:5" x14ac:dyDescent="0.15">
      <c r="A564" s="12" t="s">
        <v>4</v>
      </c>
      <c r="B564" s="12" t="s">
        <v>1</v>
      </c>
      <c r="C564" s="12">
        <v>50</v>
      </c>
      <c r="D564" s="3" t="s">
        <v>119</v>
      </c>
      <c r="E564" s="3">
        <v>3.2</v>
      </c>
    </row>
    <row r="565" spans="1:5" x14ac:dyDescent="0.15">
      <c r="A565" s="12" t="s">
        <v>4</v>
      </c>
      <c r="B565" s="12" t="s">
        <v>1</v>
      </c>
      <c r="C565" s="12">
        <v>50</v>
      </c>
      <c r="D565" s="3" t="s">
        <v>120</v>
      </c>
      <c r="E565" s="3">
        <v>3.5</v>
      </c>
    </row>
    <row r="566" spans="1:5" x14ac:dyDescent="0.15">
      <c r="A566" s="12" t="s">
        <v>4</v>
      </c>
      <c r="B566" s="12" t="s">
        <v>1</v>
      </c>
      <c r="C566" s="12">
        <v>50</v>
      </c>
      <c r="D566" s="3" t="s">
        <v>121</v>
      </c>
      <c r="E566" s="3">
        <v>4</v>
      </c>
    </row>
    <row r="567" spans="1:5" x14ac:dyDescent="0.15">
      <c r="A567" s="12" t="s">
        <v>4</v>
      </c>
      <c r="B567" s="12" t="s">
        <v>1</v>
      </c>
      <c r="C567" s="12">
        <v>50</v>
      </c>
      <c r="D567" s="3" t="s">
        <v>122</v>
      </c>
      <c r="E567" s="3">
        <v>4.5</v>
      </c>
    </row>
    <row r="568" spans="1:5" x14ac:dyDescent="0.15">
      <c r="A568" s="12" t="s">
        <v>4</v>
      </c>
      <c r="B568" s="12" t="s">
        <v>1</v>
      </c>
      <c r="C568" s="12">
        <v>50</v>
      </c>
      <c r="D568" s="3" t="s">
        <v>123</v>
      </c>
      <c r="E568" s="3">
        <v>5</v>
      </c>
    </row>
    <row r="569" spans="1:5" x14ac:dyDescent="0.15">
      <c r="A569" s="12" t="s">
        <v>4</v>
      </c>
      <c r="B569" s="12" t="s">
        <v>1</v>
      </c>
      <c r="C569" s="12">
        <v>50</v>
      </c>
      <c r="D569" s="3" t="s">
        <v>124</v>
      </c>
      <c r="E569" s="3">
        <v>5.5</v>
      </c>
    </row>
    <row r="570" spans="1:5" x14ac:dyDescent="0.15">
      <c r="A570" s="12" t="s">
        <v>4</v>
      </c>
      <c r="B570" s="12" t="s">
        <v>1</v>
      </c>
      <c r="C570" s="12">
        <v>50</v>
      </c>
      <c r="D570" s="3" t="s">
        <v>125</v>
      </c>
      <c r="E570" s="3">
        <v>6</v>
      </c>
    </row>
    <row r="571" spans="1:5" x14ac:dyDescent="0.15">
      <c r="A571" s="12" t="s">
        <v>4</v>
      </c>
      <c r="B571" s="12" t="s">
        <v>1</v>
      </c>
      <c r="C571" s="12">
        <v>50</v>
      </c>
      <c r="D571" s="3" t="s">
        <v>126</v>
      </c>
      <c r="E571" s="3">
        <v>6.5</v>
      </c>
    </row>
    <row r="572" spans="1:5" x14ac:dyDescent="0.15">
      <c r="A572" s="12" t="s">
        <v>4</v>
      </c>
      <c r="B572" s="12" t="s">
        <v>1</v>
      </c>
      <c r="C572" s="12">
        <v>50</v>
      </c>
      <c r="D572" s="3" t="s">
        <v>127</v>
      </c>
      <c r="E572" s="3">
        <v>7</v>
      </c>
    </row>
    <row r="573" spans="1:5" x14ac:dyDescent="0.15">
      <c r="A573" s="12" t="s">
        <v>4</v>
      </c>
      <c r="B573" s="12" t="s">
        <v>1</v>
      </c>
      <c r="C573" s="12">
        <v>50</v>
      </c>
      <c r="D573" s="3" t="s">
        <v>128</v>
      </c>
      <c r="E573" s="3">
        <v>7.5</v>
      </c>
    </row>
    <row r="574" spans="1:5" x14ac:dyDescent="0.15">
      <c r="A574" s="12" t="s">
        <v>4</v>
      </c>
      <c r="B574" s="12" t="s">
        <v>1</v>
      </c>
      <c r="C574" s="12">
        <v>50</v>
      </c>
      <c r="D574" s="3" t="s">
        <v>102</v>
      </c>
      <c r="E574" s="3">
        <v>8</v>
      </c>
    </row>
    <row r="575" spans="1:5" x14ac:dyDescent="0.15">
      <c r="A575" s="12" t="s">
        <v>4</v>
      </c>
      <c r="B575" s="12" t="s">
        <v>1</v>
      </c>
      <c r="C575" s="12">
        <v>50</v>
      </c>
      <c r="D575" s="3" t="s">
        <v>129</v>
      </c>
      <c r="E575" s="3">
        <v>8.5</v>
      </c>
    </row>
    <row r="576" spans="1:5" x14ac:dyDescent="0.15">
      <c r="A576" s="12" t="s">
        <v>4</v>
      </c>
      <c r="B576" s="12" t="s">
        <v>1</v>
      </c>
      <c r="C576" s="12">
        <v>50</v>
      </c>
      <c r="D576" s="3" t="s">
        <v>130</v>
      </c>
      <c r="E576" s="3">
        <v>9</v>
      </c>
    </row>
    <row r="577" spans="1:5" x14ac:dyDescent="0.15">
      <c r="A577" s="12" t="s">
        <v>4</v>
      </c>
      <c r="B577" s="12" t="s">
        <v>1</v>
      </c>
      <c r="C577" s="12">
        <v>65</v>
      </c>
      <c r="D577" s="3" t="s">
        <v>114</v>
      </c>
      <c r="E577" s="3">
        <v>2</v>
      </c>
    </row>
    <row r="578" spans="1:5" x14ac:dyDescent="0.15">
      <c r="A578" s="12" t="s">
        <v>4</v>
      </c>
      <c r="B578" s="12" t="s">
        <v>1</v>
      </c>
      <c r="C578" s="12">
        <v>65</v>
      </c>
      <c r="D578" s="3" t="s">
        <v>115</v>
      </c>
      <c r="E578" s="3">
        <v>2.2000000000000002</v>
      </c>
    </row>
    <row r="579" spans="1:5" x14ac:dyDescent="0.15">
      <c r="A579" s="12" t="s">
        <v>4</v>
      </c>
      <c r="B579" s="12" t="s">
        <v>1</v>
      </c>
      <c r="C579" s="12">
        <v>65</v>
      </c>
      <c r="D579" s="3" t="s">
        <v>116</v>
      </c>
      <c r="E579" s="3">
        <v>2.5</v>
      </c>
    </row>
    <row r="580" spans="1:5" x14ac:dyDescent="0.15">
      <c r="A580" s="12" t="s">
        <v>4</v>
      </c>
      <c r="B580" s="12" t="s">
        <v>1</v>
      </c>
      <c r="C580" s="12">
        <v>65</v>
      </c>
      <c r="D580" s="3" t="s">
        <v>117</v>
      </c>
      <c r="E580" s="3">
        <v>2.8</v>
      </c>
    </row>
    <row r="581" spans="1:5" x14ac:dyDescent="0.15">
      <c r="A581" s="12" t="s">
        <v>4</v>
      </c>
      <c r="B581" s="12" t="s">
        <v>1</v>
      </c>
      <c r="C581" s="12">
        <v>65</v>
      </c>
      <c r="D581" s="3" t="s">
        <v>118</v>
      </c>
      <c r="E581" s="3">
        <v>3</v>
      </c>
    </row>
    <row r="582" spans="1:5" x14ac:dyDescent="0.15">
      <c r="A582" s="12" t="s">
        <v>4</v>
      </c>
      <c r="B582" s="12" t="s">
        <v>1</v>
      </c>
      <c r="C582" s="12">
        <v>65</v>
      </c>
      <c r="D582" s="3" t="s">
        <v>119</v>
      </c>
      <c r="E582" s="3">
        <v>3.2</v>
      </c>
    </row>
    <row r="583" spans="1:5" x14ac:dyDescent="0.15">
      <c r="A583" s="12" t="s">
        <v>4</v>
      </c>
      <c r="B583" s="12" t="s">
        <v>1</v>
      </c>
      <c r="C583" s="12">
        <v>65</v>
      </c>
      <c r="D583" s="3" t="s">
        <v>120</v>
      </c>
      <c r="E583" s="3">
        <v>3.5</v>
      </c>
    </row>
    <row r="584" spans="1:5" x14ac:dyDescent="0.15">
      <c r="A584" s="12" t="s">
        <v>4</v>
      </c>
      <c r="B584" s="12" t="s">
        <v>1</v>
      </c>
      <c r="C584" s="12">
        <v>65</v>
      </c>
      <c r="D584" s="3" t="s">
        <v>121</v>
      </c>
      <c r="E584" s="3">
        <v>4</v>
      </c>
    </row>
    <row r="585" spans="1:5" x14ac:dyDescent="0.15">
      <c r="A585" s="12" t="s">
        <v>4</v>
      </c>
      <c r="B585" s="12" t="s">
        <v>1</v>
      </c>
      <c r="C585" s="12">
        <v>65</v>
      </c>
      <c r="D585" s="3" t="s">
        <v>122</v>
      </c>
      <c r="E585" s="3">
        <v>4.5</v>
      </c>
    </row>
    <row r="586" spans="1:5" x14ac:dyDescent="0.15">
      <c r="A586" s="12" t="s">
        <v>4</v>
      </c>
      <c r="B586" s="12" t="s">
        <v>1</v>
      </c>
      <c r="C586" s="12">
        <v>65</v>
      </c>
      <c r="D586" s="3" t="s">
        <v>123</v>
      </c>
      <c r="E586" s="3">
        <v>5</v>
      </c>
    </row>
    <row r="587" spans="1:5" x14ac:dyDescent="0.15">
      <c r="A587" s="12" t="s">
        <v>4</v>
      </c>
      <c r="B587" s="12" t="s">
        <v>1</v>
      </c>
      <c r="C587" s="12">
        <v>65</v>
      </c>
      <c r="D587" s="3" t="s">
        <v>124</v>
      </c>
      <c r="E587" s="3">
        <v>5.5</v>
      </c>
    </row>
    <row r="588" spans="1:5" x14ac:dyDescent="0.15">
      <c r="A588" s="12" t="s">
        <v>4</v>
      </c>
      <c r="B588" s="12" t="s">
        <v>1</v>
      </c>
      <c r="C588" s="12">
        <v>65</v>
      </c>
      <c r="D588" s="3" t="s">
        <v>125</v>
      </c>
      <c r="E588" s="3">
        <v>6</v>
      </c>
    </row>
    <row r="589" spans="1:5" x14ac:dyDescent="0.15">
      <c r="A589" s="12" t="s">
        <v>4</v>
      </c>
      <c r="B589" s="12" t="s">
        <v>1</v>
      </c>
      <c r="C589" s="12">
        <v>65</v>
      </c>
      <c r="D589" s="3" t="s">
        <v>126</v>
      </c>
      <c r="E589" s="3">
        <v>6.5</v>
      </c>
    </row>
    <row r="590" spans="1:5" x14ac:dyDescent="0.15">
      <c r="A590" s="12" t="s">
        <v>4</v>
      </c>
      <c r="B590" s="12" t="s">
        <v>1</v>
      </c>
      <c r="C590" s="12">
        <v>65</v>
      </c>
      <c r="D590" s="3" t="s">
        <v>127</v>
      </c>
      <c r="E590" s="3">
        <v>7</v>
      </c>
    </row>
    <row r="591" spans="1:5" x14ac:dyDescent="0.15">
      <c r="A591" s="12" t="s">
        <v>4</v>
      </c>
      <c r="B591" s="12" t="s">
        <v>1</v>
      </c>
      <c r="C591" s="12">
        <v>65</v>
      </c>
      <c r="D591" s="3" t="s">
        <v>128</v>
      </c>
      <c r="E591" s="3">
        <v>7.5</v>
      </c>
    </row>
    <row r="592" spans="1:5" x14ac:dyDescent="0.15">
      <c r="A592" s="12" t="s">
        <v>4</v>
      </c>
      <c r="B592" s="12" t="s">
        <v>1</v>
      </c>
      <c r="C592" s="12">
        <v>65</v>
      </c>
      <c r="D592" s="3" t="s">
        <v>102</v>
      </c>
      <c r="E592" s="3">
        <v>8</v>
      </c>
    </row>
    <row r="593" spans="1:5" s="5" customFormat="1" x14ac:dyDescent="0.15">
      <c r="A593" s="12" t="s">
        <v>4</v>
      </c>
      <c r="B593" s="12" t="s">
        <v>1</v>
      </c>
      <c r="C593" s="12">
        <v>65</v>
      </c>
      <c r="D593" s="3" t="s">
        <v>129</v>
      </c>
      <c r="E593" s="3">
        <v>8.5</v>
      </c>
    </row>
    <row r="594" spans="1:5" s="5" customFormat="1" x14ac:dyDescent="0.15">
      <c r="A594" s="12" t="s">
        <v>4</v>
      </c>
      <c r="B594" s="12" t="s">
        <v>1</v>
      </c>
      <c r="C594" s="12">
        <v>65</v>
      </c>
      <c r="D594" s="3" t="s">
        <v>130</v>
      </c>
      <c r="E594" s="3">
        <v>9</v>
      </c>
    </row>
    <row r="595" spans="1:5" s="5" customFormat="1" x14ac:dyDescent="0.15">
      <c r="A595" s="12" t="s">
        <v>4</v>
      </c>
      <c r="B595" s="12" t="s">
        <v>1</v>
      </c>
      <c r="C595" s="12">
        <v>65</v>
      </c>
      <c r="D595" s="3" t="s">
        <v>131</v>
      </c>
      <c r="E595" s="3">
        <v>9.5</v>
      </c>
    </row>
    <row r="596" spans="1:5" s="5" customFormat="1" x14ac:dyDescent="0.15">
      <c r="A596" s="12" t="s">
        <v>4</v>
      </c>
      <c r="B596" s="12" t="s">
        <v>1</v>
      </c>
      <c r="C596" s="12">
        <v>65</v>
      </c>
      <c r="D596" s="3" t="s">
        <v>104</v>
      </c>
      <c r="E596" s="3">
        <v>10</v>
      </c>
    </row>
    <row r="597" spans="1:5" s="5" customFormat="1" x14ac:dyDescent="0.15">
      <c r="A597" s="12" t="s">
        <v>4</v>
      </c>
      <c r="B597" s="12" t="s">
        <v>1</v>
      </c>
      <c r="C597" s="12">
        <v>80</v>
      </c>
      <c r="D597" s="3" t="s">
        <v>114</v>
      </c>
      <c r="E597" s="3">
        <v>2</v>
      </c>
    </row>
    <row r="598" spans="1:5" s="5" customFormat="1" x14ac:dyDescent="0.15">
      <c r="A598" s="12" t="s">
        <v>4</v>
      </c>
      <c r="B598" s="12" t="s">
        <v>1</v>
      </c>
      <c r="C598" s="12">
        <v>80</v>
      </c>
      <c r="D598" s="3" t="s">
        <v>115</v>
      </c>
      <c r="E598" s="3">
        <v>2.2000000000000002</v>
      </c>
    </row>
    <row r="599" spans="1:5" s="5" customFormat="1" x14ac:dyDescent="0.15">
      <c r="A599" s="12" t="s">
        <v>4</v>
      </c>
      <c r="B599" s="12" t="s">
        <v>1</v>
      </c>
      <c r="C599" s="12">
        <v>80</v>
      </c>
      <c r="D599" s="3" t="s">
        <v>116</v>
      </c>
      <c r="E599" s="3">
        <v>2.5</v>
      </c>
    </row>
    <row r="600" spans="1:5" s="5" customFormat="1" x14ac:dyDescent="0.15">
      <c r="A600" s="12" t="s">
        <v>4</v>
      </c>
      <c r="B600" s="12" t="s">
        <v>1</v>
      </c>
      <c r="C600" s="12">
        <v>80</v>
      </c>
      <c r="D600" s="3" t="s">
        <v>117</v>
      </c>
      <c r="E600" s="3">
        <v>2.8</v>
      </c>
    </row>
    <row r="601" spans="1:5" s="5" customFormat="1" x14ac:dyDescent="0.15">
      <c r="A601" s="12" t="s">
        <v>4</v>
      </c>
      <c r="B601" s="12" t="s">
        <v>1</v>
      </c>
      <c r="C601" s="12">
        <v>80</v>
      </c>
      <c r="D601" s="3" t="s">
        <v>118</v>
      </c>
      <c r="E601" s="3">
        <v>3</v>
      </c>
    </row>
    <row r="602" spans="1:5" s="5" customFormat="1" x14ac:dyDescent="0.15">
      <c r="A602" s="12" t="s">
        <v>4</v>
      </c>
      <c r="B602" s="12" t="s">
        <v>1</v>
      </c>
      <c r="C602" s="12">
        <v>80</v>
      </c>
      <c r="D602" s="3" t="s">
        <v>119</v>
      </c>
      <c r="E602" s="3">
        <v>3.2</v>
      </c>
    </row>
    <row r="603" spans="1:5" s="5" customFormat="1" x14ac:dyDescent="0.15">
      <c r="A603" s="12" t="s">
        <v>4</v>
      </c>
      <c r="B603" s="12" t="s">
        <v>1</v>
      </c>
      <c r="C603" s="12">
        <v>80</v>
      </c>
      <c r="D603" s="3" t="s">
        <v>120</v>
      </c>
      <c r="E603" s="3">
        <v>3.5</v>
      </c>
    </row>
    <row r="604" spans="1:5" s="5" customFormat="1" x14ac:dyDescent="0.15">
      <c r="A604" s="12" t="s">
        <v>4</v>
      </c>
      <c r="B604" s="12" t="s">
        <v>1</v>
      </c>
      <c r="C604" s="12">
        <v>80</v>
      </c>
      <c r="D604" s="3" t="s">
        <v>121</v>
      </c>
      <c r="E604" s="3">
        <v>4</v>
      </c>
    </row>
    <row r="605" spans="1:5" s="5" customFormat="1" x14ac:dyDescent="0.15">
      <c r="A605" s="12" t="s">
        <v>4</v>
      </c>
      <c r="B605" s="12" t="s">
        <v>1</v>
      </c>
      <c r="C605" s="12">
        <v>80</v>
      </c>
      <c r="D605" s="3" t="s">
        <v>122</v>
      </c>
      <c r="E605" s="3">
        <v>4.5</v>
      </c>
    </row>
    <row r="606" spans="1:5" s="5" customFormat="1" x14ac:dyDescent="0.15">
      <c r="A606" s="12" t="s">
        <v>4</v>
      </c>
      <c r="B606" s="12" t="s">
        <v>1</v>
      </c>
      <c r="C606" s="12">
        <v>80</v>
      </c>
      <c r="D606" s="3" t="s">
        <v>123</v>
      </c>
      <c r="E606" s="3">
        <v>5</v>
      </c>
    </row>
    <row r="607" spans="1:5" s="5" customFormat="1" x14ac:dyDescent="0.15">
      <c r="A607" s="12" t="s">
        <v>4</v>
      </c>
      <c r="B607" s="12" t="s">
        <v>1</v>
      </c>
      <c r="C607" s="12">
        <v>80</v>
      </c>
      <c r="D607" s="3" t="s">
        <v>124</v>
      </c>
      <c r="E607" s="3">
        <v>5.5</v>
      </c>
    </row>
    <row r="608" spans="1:5" s="5" customFormat="1" x14ac:dyDescent="0.15">
      <c r="A608" s="12" t="s">
        <v>4</v>
      </c>
      <c r="B608" s="12" t="s">
        <v>1</v>
      </c>
      <c r="C608" s="12">
        <v>80</v>
      </c>
      <c r="D608" s="3" t="s">
        <v>125</v>
      </c>
      <c r="E608" s="3">
        <v>6</v>
      </c>
    </row>
    <row r="609" spans="1:5" s="5" customFormat="1" x14ac:dyDescent="0.15">
      <c r="A609" s="12" t="s">
        <v>4</v>
      </c>
      <c r="B609" s="12" t="s">
        <v>1</v>
      </c>
      <c r="C609" s="12">
        <v>80</v>
      </c>
      <c r="D609" s="3" t="s">
        <v>126</v>
      </c>
      <c r="E609" s="3">
        <v>6.5</v>
      </c>
    </row>
    <row r="610" spans="1:5" s="5" customFormat="1" x14ac:dyDescent="0.15">
      <c r="A610" s="12" t="s">
        <v>4</v>
      </c>
      <c r="B610" s="12" t="s">
        <v>1</v>
      </c>
      <c r="C610" s="12">
        <v>80</v>
      </c>
      <c r="D610" s="3" t="s">
        <v>127</v>
      </c>
      <c r="E610" s="3">
        <v>7</v>
      </c>
    </row>
    <row r="611" spans="1:5" s="5" customFormat="1" x14ac:dyDescent="0.15">
      <c r="A611" s="12" t="s">
        <v>4</v>
      </c>
      <c r="B611" s="12" t="s">
        <v>1</v>
      </c>
      <c r="C611" s="12">
        <v>80</v>
      </c>
      <c r="D611" s="3" t="s">
        <v>128</v>
      </c>
      <c r="E611" s="3">
        <v>7.5</v>
      </c>
    </row>
    <row r="612" spans="1:5" s="5" customFormat="1" x14ac:dyDescent="0.15">
      <c r="A612" s="12" t="s">
        <v>4</v>
      </c>
      <c r="B612" s="12" t="s">
        <v>1</v>
      </c>
      <c r="C612" s="12">
        <v>80</v>
      </c>
      <c r="D612" s="3" t="s">
        <v>102</v>
      </c>
      <c r="E612" s="3">
        <v>8</v>
      </c>
    </row>
    <row r="613" spans="1:5" s="5" customFormat="1" x14ac:dyDescent="0.15">
      <c r="A613" s="12" t="s">
        <v>4</v>
      </c>
      <c r="B613" s="12" t="s">
        <v>1</v>
      </c>
      <c r="C613" s="12">
        <v>80</v>
      </c>
      <c r="D613" s="3" t="s">
        <v>129</v>
      </c>
      <c r="E613" s="3">
        <v>8.5</v>
      </c>
    </row>
    <row r="614" spans="1:5" s="5" customFormat="1" x14ac:dyDescent="0.15">
      <c r="A614" s="12" t="s">
        <v>4</v>
      </c>
      <c r="B614" s="12" t="s">
        <v>1</v>
      </c>
      <c r="C614" s="12">
        <v>80</v>
      </c>
      <c r="D614" s="3" t="s">
        <v>130</v>
      </c>
      <c r="E614" s="3">
        <v>9</v>
      </c>
    </row>
    <row r="615" spans="1:5" s="5" customFormat="1" x14ac:dyDescent="0.15">
      <c r="A615" s="12" t="s">
        <v>4</v>
      </c>
      <c r="B615" s="12" t="s">
        <v>1</v>
      </c>
      <c r="C615" s="12">
        <v>80</v>
      </c>
      <c r="D615" s="3" t="s">
        <v>131</v>
      </c>
      <c r="E615" s="3">
        <v>9.5</v>
      </c>
    </row>
    <row r="616" spans="1:5" s="5" customFormat="1" x14ac:dyDescent="0.15">
      <c r="A616" s="12" t="s">
        <v>4</v>
      </c>
      <c r="B616" s="12" t="s">
        <v>1</v>
      </c>
      <c r="C616" s="12">
        <v>80</v>
      </c>
      <c r="D616" s="3" t="s">
        <v>104</v>
      </c>
      <c r="E616" s="3">
        <v>10</v>
      </c>
    </row>
    <row r="617" spans="1:5" s="5" customFormat="1" x14ac:dyDescent="0.15">
      <c r="A617" s="12" t="s">
        <v>4</v>
      </c>
      <c r="B617" s="12" t="s">
        <v>1</v>
      </c>
      <c r="C617" s="12">
        <v>80</v>
      </c>
      <c r="D617" s="3" t="s">
        <v>105</v>
      </c>
      <c r="E617" s="3">
        <v>11</v>
      </c>
    </row>
    <row r="618" spans="1:5" s="5" customFormat="1" x14ac:dyDescent="0.15">
      <c r="A618" s="12" t="s">
        <v>4</v>
      </c>
      <c r="B618" s="12" t="s">
        <v>1</v>
      </c>
      <c r="C618" s="12">
        <v>100</v>
      </c>
      <c r="D618" s="3" t="s">
        <v>114</v>
      </c>
      <c r="E618" s="3">
        <v>2</v>
      </c>
    </row>
    <row r="619" spans="1:5" s="5" customFormat="1" x14ac:dyDescent="0.15">
      <c r="A619" s="12" t="s">
        <v>4</v>
      </c>
      <c r="B619" s="12" t="s">
        <v>1</v>
      </c>
      <c r="C619" s="12">
        <v>100</v>
      </c>
      <c r="D619" s="3" t="s">
        <v>115</v>
      </c>
      <c r="E619" s="3">
        <v>2.2000000000000002</v>
      </c>
    </row>
    <row r="620" spans="1:5" s="5" customFormat="1" x14ac:dyDescent="0.15">
      <c r="A620" s="12" t="s">
        <v>4</v>
      </c>
      <c r="B620" s="12" t="s">
        <v>1</v>
      </c>
      <c r="C620" s="12">
        <v>100</v>
      </c>
      <c r="D620" s="3" t="s">
        <v>116</v>
      </c>
      <c r="E620" s="3">
        <v>2.5</v>
      </c>
    </row>
    <row r="621" spans="1:5" s="5" customFormat="1" x14ac:dyDescent="0.15">
      <c r="A621" s="12" t="s">
        <v>4</v>
      </c>
      <c r="B621" s="12" t="s">
        <v>1</v>
      </c>
      <c r="C621" s="12">
        <v>100</v>
      </c>
      <c r="D621" s="3" t="s">
        <v>117</v>
      </c>
      <c r="E621" s="3">
        <v>2.8</v>
      </c>
    </row>
    <row r="622" spans="1:5" s="5" customFormat="1" x14ac:dyDescent="0.15">
      <c r="A622" s="12" t="s">
        <v>4</v>
      </c>
      <c r="B622" s="12" t="s">
        <v>1</v>
      </c>
      <c r="C622" s="12">
        <v>100</v>
      </c>
      <c r="D622" s="3" t="s">
        <v>118</v>
      </c>
      <c r="E622" s="3">
        <v>3</v>
      </c>
    </row>
    <row r="623" spans="1:5" s="5" customFormat="1" x14ac:dyDescent="0.15">
      <c r="A623" s="12" t="s">
        <v>4</v>
      </c>
      <c r="B623" s="12" t="s">
        <v>1</v>
      </c>
      <c r="C623" s="12">
        <v>100</v>
      </c>
      <c r="D623" s="3" t="s">
        <v>119</v>
      </c>
      <c r="E623" s="3">
        <v>3.2</v>
      </c>
    </row>
    <row r="624" spans="1:5" s="5" customFormat="1" x14ac:dyDescent="0.15">
      <c r="A624" s="12" t="s">
        <v>4</v>
      </c>
      <c r="B624" s="12" t="s">
        <v>1</v>
      </c>
      <c r="C624" s="12">
        <v>100</v>
      </c>
      <c r="D624" s="3" t="s">
        <v>120</v>
      </c>
      <c r="E624" s="3">
        <v>3.5</v>
      </c>
    </row>
    <row r="625" spans="1:5" s="5" customFormat="1" x14ac:dyDescent="0.15">
      <c r="A625" s="12" t="s">
        <v>4</v>
      </c>
      <c r="B625" s="12" t="s">
        <v>1</v>
      </c>
      <c r="C625" s="12">
        <v>100</v>
      </c>
      <c r="D625" s="3" t="s">
        <v>121</v>
      </c>
      <c r="E625" s="3">
        <v>4</v>
      </c>
    </row>
    <row r="626" spans="1:5" s="5" customFormat="1" x14ac:dyDescent="0.15">
      <c r="A626" s="12" t="s">
        <v>4</v>
      </c>
      <c r="B626" s="12" t="s">
        <v>1</v>
      </c>
      <c r="C626" s="12">
        <v>100</v>
      </c>
      <c r="D626" s="3" t="s">
        <v>122</v>
      </c>
      <c r="E626" s="3">
        <v>4.5</v>
      </c>
    </row>
    <row r="627" spans="1:5" s="5" customFormat="1" x14ac:dyDescent="0.15">
      <c r="A627" s="12" t="s">
        <v>4</v>
      </c>
      <c r="B627" s="12" t="s">
        <v>1</v>
      </c>
      <c r="C627" s="12">
        <v>100</v>
      </c>
      <c r="D627" s="3" t="s">
        <v>123</v>
      </c>
      <c r="E627" s="3">
        <v>5</v>
      </c>
    </row>
    <row r="628" spans="1:5" s="5" customFormat="1" x14ac:dyDescent="0.15">
      <c r="A628" s="12" t="s">
        <v>4</v>
      </c>
      <c r="B628" s="12" t="s">
        <v>1</v>
      </c>
      <c r="C628" s="12">
        <v>100</v>
      </c>
      <c r="D628" s="3" t="s">
        <v>124</v>
      </c>
      <c r="E628" s="3">
        <v>5.5</v>
      </c>
    </row>
    <row r="629" spans="1:5" s="5" customFormat="1" x14ac:dyDescent="0.15">
      <c r="A629" s="12" t="s">
        <v>4</v>
      </c>
      <c r="B629" s="12" t="s">
        <v>1</v>
      </c>
      <c r="C629" s="12">
        <v>100</v>
      </c>
      <c r="D629" s="3" t="s">
        <v>125</v>
      </c>
      <c r="E629" s="3">
        <v>6</v>
      </c>
    </row>
    <row r="630" spans="1:5" s="5" customFormat="1" x14ac:dyDescent="0.15">
      <c r="A630" s="12" t="s">
        <v>4</v>
      </c>
      <c r="B630" s="12" t="s">
        <v>1</v>
      </c>
      <c r="C630" s="12">
        <v>100</v>
      </c>
      <c r="D630" s="3" t="s">
        <v>126</v>
      </c>
      <c r="E630" s="3">
        <v>6.5</v>
      </c>
    </row>
    <row r="631" spans="1:5" s="5" customFormat="1" x14ac:dyDescent="0.15">
      <c r="A631" s="12" t="s">
        <v>4</v>
      </c>
      <c r="B631" s="12" t="s">
        <v>1</v>
      </c>
      <c r="C631" s="12">
        <v>100</v>
      </c>
      <c r="D631" s="3" t="s">
        <v>127</v>
      </c>
      <c r="E631" s="3">
        <v>7</v>
      </c>
    </row>
    <row r="632" spans="1:5" s="5" customFormat="1" x14ac:dyDescent="0.15">
      <c r="A632" s="12" t="s">
        <v>4</v>
      </c>
      <c r="B632" s="12" t="s">
        <v>1</v>
      </c>
      <c r="C632" s="12">
        <v>100</v>
      </c>
      <c r="D632" s="3" t="s">
        <v>128</v>
      </c>
      <c r="E632" s="3">
        <v>7.5</v>
      </c>
    </row>
    <row r="633" spans="1:5" s="5" customFormat="1" x14ac:dyDescent="0.15">
      <c r="A633" s="12" t="s">
        <v>4</v>
      </c>
      <c r="B633" s="12" t="s">
        <v>1</v>
      </c>
      <c r="C633" s="12">
        <v>100</v>
      </c>
      <c r="D633" s="3" t="s">
        <v>102</v>
      </c>
      <c r="E633" s="3">
        <v>8</v>
      </c>
    </row>
    <row r="634" spans="1:5" s="5" customFormat="1" x14ac:dyDescent="0.15">
      <c r="A634" s="12" t="s">
        <v>4</v>
      </c>
      <c r="B634" s="12" t="s">
        <v>1</v>
      </c>
      <c r="C634" s="12">
        <v>100</v>
      </c>
      <c r="D634" s="3" t="s">
        <v>129</v>
      </c>
      <c r="E634" s="3">
        <v>8.5</v>
      </c>
    </row>
    <row r="635" spans="1:5" s="5" customFormat="1" x14ac:dyDescent="0.15">
      <c r="A635" s="12" t="s">
        <v>4</v>
      </c>
      <c r="B635" s="12" t="s">
        <v>1</v>
      </c>
      <c r="C635" s="12">
        <v>100</v>
      </c>
      <c r="D635" s="3" t="s">
        <v>130</v>
      </c>
      <c r="E635" s="3">
        <v>9</v>
      </c>
    </row>
    <row r="636" spans="1:5" s="5" customFormat="1" x14ac:dyDescent="0.15">
      <c r="A636" s="12" t="s">
        <v>4</v>
      </c>
      <c r="B636" s="12" t="s">
        <v>1</v>
      </c>
      <c r="C636" s="12">
        <v>100</v>
      </c>
      <c r="D636" s="3" t="s">
        <v>131</v>
      </c>
      <c r="E636" s="3">
        <v>9.5</v>
      </c>
    </row>
    <row r="637" spans="1:5" s="5" customFormat="1" x14ac:dyDescent="0.15">
      <c r="A637" s="12" t="s">
        <v>4</v>
      </c>
      <c r="B637" s="12" t="s">
        <v>1</v>
      </c>
      <c r="C637" s="12">
        <v>100</v>
      </c>
      <c r="D637" s="3" t="s">
        <v>104</v>
      </c>
      <c r="E637" s="3">
        <v>10</v>
      </c>
    </row>
    <row r="638" spans="1:5" s="5" customFormat="1" x14ac:dyDescent="0.15">
      <c r="A638" s="12" t="s">
        <v>4</v>
      </c>
      <c r="B638" s="12" t="s">
        <v>1</v>
      </c>
      <c r="C638" s="12">
        <v>100</v>
      </c>
      <c r="D638" s="3" t="s">
        <v>105</v>
      </c>
      <c r="E638" s="3">
        <v>11</v>
      </c>
    </row>
    <row r="639" spans="1:5" s="5" customFormat="1" x14ac:dyDescent="0.15">
      <c r="A639" s="12" t="s">
        <v>4</v>
      </c>
      <c r="B639" s="12" t="s">
        <v>1</v>
      </c>
      <c r="C639" s="12">
        <v>100</v>
      </c>
      <c r="D639" s="3" t="s">
        <v>132</v>
      </c>
      <c r="E639" s="3">
        <v>12</v>
      </c>
    </row>
    <row r="640" spans="1:5" s="5" customFormat="1" x14ac:dyDescent="0.15">
      <c r="A640" s="12" t="s">
        <v>4</v>
      </c>
      <c r="B640" s="12" t="s">
        <v>1</v>
      </c>
      <c r="C640" s="12">
        <v>100</v>
      </c>
      <c r="D640" s="3" t="s">
        <v>133</v>
      </c>
      <c r="E640" s="3">
        <v>13</v>
      </c>
    </row>
    <row r="641" spans="1:5" s="5" customFormat="1" x14ac:dyDescent="0.15">
      <c r="A641" s="12" t="s">
        <v>4</v>
      </c>
      <c r="B641" s="12" t="s">
        <v>1</v>
      </c>
      <c r="C641" s="12">
        <v>100</v>
      </c>
      <c r="D641" s="3" t="s">
        <v>134</v>
      </c>
      <c r="E641" s="3">
        <v>14</v>
      </c>
    </row>
    <row r="642" spans="1:5" s="5" customFormat="1" x14ac:dyDescent="0.15">
      <c r="A642" s="12" t="s">
        <v>4</v>
      </c>
      <c r="B642" s="12" t="s">
        <v>1</v>
      </c>
      <c r="C642" s="12">
        <v>125</v>
      </c>
      <c r="D642" s="3" t="s">
        <v>118</v>
      </c>
      <c r="E642" s="3">
        <v>3</v>
      </c>
    </row>
    <row r="643" spans="1:5" s="5" customFormat="1" x14ac:dyDescent="0.15">
      <c r="A643" s="12" t="s">
        <v>4</v>
      </c>
      <c r="B643" s="12" t="s">
        <v>1</v>
      </c>
      <c r="C643" s="12">
        <v>125</v>
      </c>
      <c r="D643" s="3" t="s">
        <v>119</v>
      </c>
      <c r="E643" s="3">
        <v>3.2</v>
      </c>
    </row>
    <row r="644" spans="1:5" s="5" customFormat="1" x14ac:dyDescent="0.15">
      <c r="A644" s="12" t="s">
        <v>4</v>
      </c>
      <c r="B644" s="12" t="s">
        <v>1</v>
      </c>
      <c r="C644" s="12">
        <v>125</v>
      </c>
      <c r="D644" s="3" t="s">
        <v>120</v>
      </c>
      <c r="E644" s="3">
        <v>3.5</v>
      </c>
    </row>
    <row r="645" spans="1:5" s="5" customFormat="1" x14ac:dyDescent="0.15">
      <c r="A645" s="12" t="s">
        <v>4</v>
      </c>
      <c r="B645" s="12" t="s">
        <v>1</v>
      </c>
      <c r="C645" s="12">
        <v>125</v>
      </c>
      <c r="D645" s="3" t="s">
        <v>121</v>
      </c>
      <c r="E645" s="3">
        <v>4</v>
      </c>
    </row>
    <row r="646" spans="1:5" s="5" customFormat="1" x14ac:dyDescent="0.15">
      <c r="A646" s="12" t="s">
        <v>4</v>
      </c>
      <c r="B646" s="12" t="s">
        <v>1</v>
      </c>
      <c r="C646" s="12">
        <v>125</v>
      </c>
      <c r="D646" s="3" t="s">
        <v>122</v>
      </c>
      <c r="E646" s="3">
        <v>4.5</v>
      </c>
    </row>
    <row r="647" spans="1:5" s="5" customFormat="1" x14ac:dyDescent="0.15">
      <c r="A647" s="12" t="s">
        <v>4</v>
      </c>
      <c r="B647" s="12" t="s">
        <v>1</v>
      </c>
      <c r="C647" s="12">
        <v>125</v>
      </c>
      <c r="D647" s="3" t="s">
        <v>123</v>
      </c>
      <c r="E647" s="3">
        <v>5</v>
      </c>
    </row>
    <row r="648" spans="1:5" s="5" customFormat="1" x14ac:dyDescent="0.15">
      <c r="A648" s="12" t="s">
        <v>4</v>
      </c>
      <c r="B648" s="12" t="s">
        <v>1</v>
      </c>
      <c r="C648" s="12">
        <v>125</v>
      </c>
      <c r="D648" s="3" t="s">
        <v>124</v>
      </c>
      <c r="E648" s="3">
        <v>5.5</v>
      </c>
    </row>
    <row r="649" spans="1:5" s="5" customFormat="1" x14ac:dyDescent="0.15">
      <c r="A649" s="12" t="s">
        <v>4</v>
      </c>
      <c r="B649" s="12" t="s">
        <v>1</v>
      </c>
      <c r="C649" s="12">
        <v>125</v>
      </c>
      <c r="D649" s="3" t="s">
        <v>125</v>
      </c>
      <c r="E649" s="3">
        <v>6</v>
      </c>
    </row>
    <row r="650" spans="1:5" s="5" customFormat="1" x14ac:dyDescent="0.15">
      <c r="A650" s="12" t="s">
        <v>4</v>
      </c>
      <c r="B650" s="12" t="s">
        <v>1</v>
      </c>
      <c r="C650" s="12">
        <v>125</v>
      </c>
      <c r="D650" s="3" t="s">
        <v>126</v>
      </c>
      <c r="E650" s="3">
        <v>6.5</v>
      </c>
    </row>
    <row r="651" spans="1:5" s="5" customFormat="1" x14ac:dyDescent="0.15">
      <c r="A651" s="12" t="s">
        <v>4</v>
      </c>
      <c r="B651" s="12" t="s">
        <v>1</v>
      </c>
      <c r="C651" s="12">
        <v>125</v>
      </c>
      <c r="D651" s="3" t="s">
        <v>127</v>
      </c>
      <c r="E651" s="3">
        <v>7</v>
      </c>
    </row>
    <row r="652" spans="1:5" s="5" customFormat="1" x14ac:dyDescent="0.15">
      <c r="A652" s="12" t="s">
        <v>4</v>
      </c>
      <c r="B652" s="12" t="s">
        <v>1</v>
      </c>
      <c r="C652" s="12">
        <v>125</v>
      </c>
      <c r="D652" s="3" t="s">
        <v>128</v>
      </c>
      <c r="E652" s="3">
        <v>7.5</v>
      </c>
    </row>
    <row r="653" spans="1:5" s="5" customFormat="1" x14ac:dyDescent="0.15">
      <c r="A653" s="12" t="s">
        <v>4</v>
      </c>
      <c r="B653" s="12" t="s">
        <v>1</v>
      </c>
      <c r="C653" s="12">
        <v>125</v>
      </c>
      <c r="D653" s="3" t="s">
        <v>102</v>
      </c>
      <c r="E653" s="3">
        <v>8</v>
      </c>
    </row>
    <row r="654" spans="1:5" s="5" customFormat="1" x14ac:dyDescent="0.15">
      <c r="A654" s="12" t="s">
        <v>4</v>
      </c>
      <c r="B654" s="12" t="s">
        <v>1</v>
      </c>
      <c r="C654" s="12">
        <v>125</v>
      </c>
      <c r="D654" s="3" t="s">
        <v>129</v>
      </c>
      <c r="E654" s="3">
        <v>8.5</v>
      </c>
    </row>
    <row r="655" spans="1:5" s="5" customFormat="1" x14ac:dyDescent="0.15">
      <c r="A655" s="12" t="s">
        <v>4</v>
      </c>
      <c r="B655" s="12" t="s">
        <v>1</v>
      </c>
      <c r="C655" s="12">
        <v>125</v>
      </c>
      <c r="D655" s="3" t="s">
        <v>130</v>
      </c>
      <c r="E655" s="3">
        <v>9</v>
      </c>
    </row>
    <row r="656" spans="1:5" s="5" customFormat="1" x14ac:dyDescent="0.15">
      <c r="A656" s="12" t="s">
        <v>4</v>
      </c>
      <c r="B656" s="12" t="s">
        <v>1</v>
      </c>
      <c r="C656" s="12">
        <v>125</v>
      </c>
      <c r="D656" s="3" t="s">
        <v>131</v>
      </c>
      <c r="E656" s="3">
        <v>9.5</v>
      </c>
    </row>
    <row r="657" spans="1:5" s="5" customFormat="1" x14ac:dyDescent="0.15">
      <c r="A657" s="12" t="s">
        <v>4</v>
      </c>
      <c r="B657" s="12" t="s">
        <v>1</v>
      </c>
      <c r="C657" s="12">
        <v>125</v>
      </c>
      <c r="D657" s="3" t="s">
        <v>104</v>
      </c>
      <c r="E657" s="3">
        <v>10</v>
      </c>
    </row>
    <row r="658" spans="1:5" s="5" customFormat="1" x14ac:dyDescent="0.15">
      <c r="A658" s="12" t="s">
        <v>4</v>
      </c>
      <c r="B658" s="12" t="s">
        <v>1</v>
      </c>
      <c r="C658" s="12">
        <v>125</v>
      </c>
      <c r="D658" s="3" t="s">
        <v>105</v>
      </c>
      <c r="E658" s="3">
        <v>11</v>
      </c>
    </row>
    <row r="659" spans="1:5" s="5" customFormat="1" x14ac:dyDescent="0.15">
      <c r="A659" s="12" t="s">
        <v>4</v>
      </c>
      <c r="B659" s="12" t="s">
        <v>1</v>
      </c>
      <c r="C659" s="12">
        <v>125</v>
      </c>
      <c r="D659" s="3" t="s">
        <v>132</v>
      </c>
      <c r="E659" s="3">
        <v>12</v>
      </c>
    </row>
    <row r="660" spans="1:5" s="5" customFormat="1" x14ac:dyDescent="0.15">
      <c r="A660" s="12" t="s">
        <v>4</v>
      </c>
      <c r="B660" s="12" t="s">
        <v>1</v>
      </c>
      <c r="C660" s="12">
        <v>125</v>
      </c>
      <c r="D660" s="3" t="s">
        <v>133</v>
      </c>
      <c r="E660" s="3">
        <v>13</v>
      </c>
    </row>
    <row r="661" spans="1:5" s="5" customFormat="1" x14ac:dyDescent="0.15">
      <c r="A661" s="12" t="s">
        <v>4</v>
      </c>
      <c r="B661" s="12" t="s">
        <v>1</v>
      </c>
      <c r="C661" s="12">
        <v>125</v>
      </c>
      <c r="D661" s="3" t="s">
        <v>134</v>
      </c>
      <c r="E661" s="3">
        <v>14</v>
      </c>
    </row>
    <row r="662" spans="1:5" s="5" customFormat="1" x14ac:dyDescent="0.15">
      <c r="A662" s="12" t="s">
        <v>4</v>
      </c>
      <c r="B662" s="12" t="s">
        <v>1</v>
      </c>
      <c r="C662" s="12">
        <v>125</v>
      </c>
      <c r="D662" s="3" t="s">
        <v>135</v>
      </c>
      <c r="E662" s="3">
        <v>15</v>
      </c>
    </row>
    <row r="663" spans="1:5" s="5" customFormat="1" x14ac:dyDescent="0.15">
      <c r="A663" s="12" t="s">
        <v>4</v>
      </c>
      <c r="B663" s="12" t="s">
        <v>1</v>
      </c>
      <c r="C663" s="12">
        <v>125</v>
      </c>
      <c r="D663" s="3" t="s">
        <v>108</v>
      </c>
      <c r="E663" s="3">
        <v>16</v>
      </c>
    </row>
    <row r="664" spans="1:5" s="5" customFormat="1" x14ac:dyDescent="0.15">
      <c r="A664" s="12" t="s">
        <v>4</v>
      </c>
      <c r="B664" s="12" t="s">
        <v>1</v>
      </c>
      <c r="C664" s="12">
        <v>150</v>
      </c>
      <c r="D664" s="3" t="s">
        <v>118</v>
      </c>
      <c r="E664" s="3">
        <v>3</v>
      </c>
    </row>
    <row r="665" spans="1:5" s="5" customFormat="1" x14ac:dyDescent="0.15">
      <c r="A665" s="12" t="s">
        <v>4</v>
      </c>
      <c r="B665" s="12" t="s">
        <v>1</v>
      </c>
      <c r="C665" s="12">
        <v>150</v>
      </c>
      <c r="D665" s="3" t="s">
        <v>119</v>
      </c>
      <c r="E665" s="3">
        <v>3.2</v>
      </c>
    </row>
    <row r="666" spans="1:5" s="5" customFormat="1" x14ac:dyDescent="0.15">
      <c r="A666" s="12" t="s">
        <v>4</v>
      </c>
      <c r="B666" s="12" t="s">
        <v>1</v>
      </c>
      <c r="C666" s="12">
        <v>150</v>
      </c>
      <c r="D666" s="3" t="s">
        <v>120</v>
      </c>
      <c r="E666" s="3">
        <v>3.5</v>
      </c>
    </row>
    <row r="667" spans="1:5" s="5" customFormat="1" x14ac:dyDescent="0.15">
      <c r="A667" s="12" t="s">
        <v>4</v>
      </c>
      <c r="B667" s="12" t="s">
        <v>1</v>
      </c>
      <c r="C667" s="12">
        <v>150</v>
      </c>
      <c r="D667" s="3" t="s">
        <v>121</v>
      </c>
      <c r="E667" s="3">
        <v>4</v>
      </c>
    </row>
    <row r="668" spans="1:5" s="5" customFormat="1" x14ac:dyDescent="0.15">
      <c r="A668" s="12" t="s">
        <v>4</v>
      </c>
      <c r="B668" s="12" t="s">
        <v>1</v>
      </c>
      <c r="C668" s="12">
        <v>150</v>
      </c>
      <c r="D668" s="3" t="s">
        <v>122</v>
      </c>
      <c r="E668" s="3">
        <v>4.5</v>
      </c>
    </row>
    <row r="669" spans="1:5" s="5" customFormat="1" x14ac:dyDescent="0.15">
      <c r="A669" s="12" t="s">
        <v>4</v>
      </c>
      <c r="B669" s="12" t="s">
        <v>1</v>
      </c>
      <c r="C669" s="12">
        <v>150</v>
      </c>
      <c r="D669" s="3" t="s">
        <v>123</v>
      </c>
      <c r="E669" s="3">
        <v>5</v>
      </c>
    </row>
    <row r="670" spans="1:5" s="5" customFormat="1" x14ac:dyDescent="0.15">
      <c r="A670" s="12" t="s">
        <v>4</v>
      </c>
      <c r="B670" s="12" t="s">
        <v>1</v>
      </c>
      <c r="C670" s="12">
        <v>150</v>
      </c>
      <c r="D670" s="3" t="s">
        <v>124</v>
      </c>
      <c r="E670" s="3">
        <v>5.5</v>
      </c>
    </row>
    <row r="671" spans="1:5" s="5" customFormat="1" x14ac:dyDescent="0.15">
      <c r="A671" s="12" t="s">
        <v>4</v>
      </c>
      <c r="B671" s="12" t="s">
        <v>1</v>
      </c>
      <c r="C671" s="12">
        <v>150</v>
      </c>
      <c r="D671" s="3" t="s">
        <v>125</v>
      </c>
      <c r="E671" s="3">
        <v>6</v>
      </c>
    </row>
    <row r="672" spans="1:5" s="5" customFormat="1" x14ac:dyDescent="0.15">
      <c r="A672" s="12" t="s">
        <v>4</v>
      </c>
      <c r="B672" s="12" t="s">
        <v>1</v>
      </c>
      <c r="C672" s="12">
        <v>150</v>
      </c>
      <c r="D672" s="3" t="s">
        <v>126</v>
      </c>
      <c r="E672" s="3">
        <v>6.5</v>
      </c>
    </row>
    <row r="673" spans="1:5" s="5" customFormat="1" x14ac:dyDescent="0.15">
      <c r="A673" s="12" t="s">
        <v>4</v>
      </c>
      <c r="B673" s="12" t="s">
        <v>1</v>
      </c>
      <c r="C673" s="12">
        <v>150</v>
      </c>
      <c r="D673" s="3" t="s">
        <v>127</v>
      </c>
      <c r="E673" s="3">
        <v>7</v>
      </c>
    </row>
    <row r="674" spans="1:5" s="5" customFormat="1" x14ac:dyDescent="0.15">
      <c r="A674" s="12" t="s">
        <v>4</v>
      </c>
      <c r="B674" s="12" t="s">
        <v>1</v>
      </c>
      <c r="C674" s="12">
        <v>150</v>
      </c>
      <c r="D674" s="3" t="s">
        <v>128</v>
      </c>
      <c r="E674" s="3">
        <v>7.5</v>
      </c>
    </row>
    <row r="675" spans="1:5" s="5" customFormat="1" x14ac:dyDescent="0.15">
      <c r="A675" s="12" t="s">
        <v>4</v>
      </c>
      <c r="B675" s="12" t="s">
        <v>1</v>
      </c>
      <c r="C675" s="12">
        <v>150</v>
      </c>
      <c r="D675" s="3" t="s">
        <v>102</v>
      </c>
      <c r="E675" s="3">
        <v>8</v>
      </c>
    </row>
    <row r="676" spans="1:5" s="5" customFormat="1" x14ac:dyDescent="0.15">
      <c r="A676" s="12" t="s">
        <v>4</v>
      </c>
      <c r="B676" s="12" t="s">
        <v>1</v>
      </c>
      <c r="C676" s="12">
        <v>150</v>
      </c>
      <c r="D676" s="3" t="s">
        <v>129</v>
      </c>
      <c r="E676" s="3">
        <v>8.5</v>
      </c>
    </row>
    <row r="677" spans="1:5" s="5" customFormat="1" x14ac:dyDescent="0.15">
      <c r="A677" s="12" t="s">
        <v>4</v>
      </c>
      <c r="B677" s="12" t="s">
        <v>1</v>
      </c>
      <c r="C677" s="12">
        <v>150</v>
      </c>
      <c r="D677" s="3" t="s">
        <v>130</v>
      </c>
      <c r="E677" s="3">
        <v>9</v>
      </c>
    </row>
    <row r="678" spans="1:5" s="5" customFormat="1" x14ac:dyDescent="0.15">
      <c r="A678" s="12" t="s">
        <v>4</v>
      </c>
      <c r="B678" s="12" t="s">
        <v>1</v>
      </c>
      <c r="C678" s="12">
        <v>150</v>
      </c>
      <c r="D678" s="3" t="s">
        <v>131</v>
      </c>
      <c r="E678" s="3">
        <v>9.5</v>
      </c>
    </row>
    <row r="679" spans="1:5" s="5" customFormat="1" x14ac:dyDescent="0.15">
      <c r="A679" s="12" t="s">
        <v>4</v>
      </c>
      <c r="B679" s="12" t="s">
        <v>1</v>
      </c>
      <c r="C679" s="12">
        <v>150</v>
      </c>
      <c r="D679" s="3" t="s">
        <v>104</v>
      </c>
      <c r="E679" s="3">
        <v>10</v>
      </c>
    </row>
    <row r="680" spans="1:5" s="5" customFormat="1" x14ac:dyDescent="0.15">
      <c r="A680" s="12" t="s">
        <v>4</v>
      </c>
      <c r="B680" s="12" t="s">
        <v>1</v>
      </c>
      <c r="C680" s="12">
        <v>150</v>
      </c>
      <c r="D680" s="3" t="s">
        <v>105</v>
      </c>
      <c r="E680" s="3">
        <v>11</v>
      </c>
    </row>
    <row r="681" spans="1:5" s="5" customFormat="1" x14ac:dyDescent="0.15">
      <c r="A681" s="12" t="s">
        <v>4</v>
      </c>
      <c r="B681" s="12" t="s">
        <v>1</v>
      </c>
      <c r="C681" s="12">
        <v>150</v>
      </c>
      <c r="D681" s="3" t="s">
        <v>132</v>
      </c>
      <c r="E681" s="3">
        <v>12</v>
      </c>
    </row>
    <row r="682" spans="1:5" s="5" customFormat="1" x14ac:dyDescent="0.15">
      <c r="A682" s="12" t="s">
        <v>4</v>
      </c>
      <c r="B682" s="12" t="s">
        <v>1</v>
      </c>
      <c r="C682" s="12">
        <v>150</v>
      </c>
      <c r="D682" s="3" t="s">
        <v>133</v>
      </c>
      <c r="E682" s="3">
        <v>13</v>
      </c>
    </row>
    <row r="683" spans="1:5" s="5" customFormat="1" x14ac:dyDescent="0.15">
      <c r="A683" s="12" t="s">
        <v>4</v>
      </c>
      <c r="B683" s="12" t="s">
        <v>1</v>
      </c>
      <c r="C683" s="12">
        <v>150</v>
      </c>
      <c r="D683" s="3" t="s">
        <v>134</v>
      </c>
      <c r="E683" s="3">
        <v>14</v>
      </c>
    </row>
    <row r="684" spans="1:5" s="5" customFormat="1" x14ac:dyDescent="0.15">
      <c r="A684" s="12" t="s">
        <v>4</v>
      </c>
      <c r="B684" s="12" t="s">
        <v>1</v>
      </c>
      <c r="C684" s="12">
        <v>150</v>
      </c>
      <c r="D684" s="3" t="s">
        <v>135</v>
      </c>
      <c r="E684" s="3">
        <v>15</v>
      </c>
    </row>
    <row r="685" spans="1:5" s="5" customFormat="1" x14ac:dyDescent="0.15">
      <c r="A685" s="12" t="s">
        <v>4</v>
      </c>
      <c r="B685" s="12" t="s">
        <v>1</v>
      </c>
      <c r="C685" s="12">
        <v>150</v>
      </c>
      <c r="D685" s="3" t="s">
        <v>108</v>
      </c>
      <c r="E685" s="3">
        <v>16</v>
      </c>
    </row>
    <row r="686" spans="1:5" s="5" customFormat="1" x14ac:dyDescent="0.15">
      <c r="A686" s="12" t="s">
        <v>4</v>
      </c>
      <c r="B686" s="12" t="s">
        <v>1</v>
      </c>
      <c r="C686" s="12">
        <v>150</v>
      </c>
      <c r="D686" s="3" t="s">
        <v>136</v>
      </c>
      <c r="E686" s="3">
        <v>18</v>
      </c>
    </row>
    <row r="687" spans="1:5" s="5" customFormat="1" x14ac:dyDescent="0.15">
      <c r="A687" s="12" t="s">
        <v>4</v>
      </c>
      <c r="B687" s="12" t="s">
        <v>1</v>
      </c>
      <c r="C687" s="12">
        <v>200</v>
      </c>
      <c r="D687" s="3" t="s">
        <v>118</v>
      </c>
      <c r="E687" s="3">
        <v>3</v>
      </c>
    </row>
    <row r="688" spans="1:5" s="5" customFormat="1" x14ac:dyDescent="0.15">
      <c r="A688" s="12" t="s">
        <v>4</v>
      </c>
      <c r="B688" s="12" t="s">
        <v>1</v>
      </c>
      <c r="C688" s="12">
        <v>200</v>
      </c>
      <c r="D688" s="3" t="s">
        <v>119</v>
      </c>
      <c r="E688" s="3">
        <v>3.2</v>
      </c>
    </row>
    <row r="689" spans="1:5" s="5" customFormat="1" x14ac:dyDescent="0.15">
      <c r="A689" s="12" t="s">
        <v>4</v>
      </c>
      <c r="B689" s="12" t="s">
        <v>1</v>
      </c>
      <c r="C689" s="12">
        <v>200</v>
      </c>
      <c r="D689" s="3" t="s">
        <v>120</v>
      </c>
      <c r="E689" s="3">
        <v>3.5</v>
      </c>
    </row>
    <row r="690" spans="1:5" s="5" customFormat="1" x14ac:dyDescent="0.15">
      <c r="A690" s="12" t="s">
        <v>4</v>
      </c>
      <c r="B690" s="12" t="s">
        <v>1</v>
      </c>
      <c r="C690" s="12">
        <v>200</v>
      </c>
      <c r="D690" s="3" t="s">
        <v>121</v>
      </c>
      <c r="E690" s="3">
        <v>4</v>
      </c>
    </row>
    <row r="691" spans="1:5" s="5" customFormat="1" x14ac:dyDescent="0.15">
      <c r="A691" s="12" t="s">
        <v>4</v>
      </c>
      <c r="B691" s="12" t="s">
        <v>1</v>
      </c>
      <c r="C691" s="12">
        <v>200</v>
      </c>
      <c r="D691" s="3" t="s">
        <v>122</v>
      </c>
      <c r="E691" s="3">
        <v>4.5</v>
      </c>
    </row>
    <row r="692" spans="1:5" s="5" customFormat="1" x14ac:dyDescent="0.15">
      <c r="A692" s="12" t="s">
        <v>4</v>
      </c>
      <c r="B692" s="12" t="s">
        <v>1</v>
      </c>
      <c r="C692" s="12">
        <v>200</v>
      </c>
      <c r="D692" s="3" t="s">
        <v>123</v>
      </c>
      <c r="E692" s="3">
        <v>5</v>
      </c>
    </row>
    <row r="693" spans="1:5" s="5" customFormat="1" x14ac:dyDescent="0.15">
      <c r="A693" s="12" t="s">
        <v>4</v>
      </c>
      <c r="B693" s="12" t="s">
        <v>1</v>
      </c>
      <c r="C693" s="12">
        <v>200</v>
      </c>
      <c r="D693" s="3" t="s">
        <v>124</v>
      </c>
      <c r="E693" s="3">
        <v>5.5</v>
      </c>
    </row>
    <row r="694" spans="1:5" s="5" customFormat="1" x14ac:dyDescent="0.15">
      <c r="A694" s="12" t="s">
        <v>4</v>
      </c>
      <c r="B694" s="12" t="s">
        <v>1</v>
      </c>
      <c r="C694" s="12">
        <v>200</v>
      </c>
      <c r="D694" s="3" t="s">
        <v>125</v>
      </c>
      <c r="E694" s="3">
        <v>6</v>
      </c>
    </row>
    <row r="695" spans="1:5" s="5" customFormat="1" x14ac:dyDescent="0.15">
      <c r="A695" s="12" t="s">
        <v>4</v>
      </c>
      <c r="B695" s="12" t="s">
        <v>1</v>
      </c>
      <c r="C695" s="12">
        <v>200</v>
      </c>
      <c r="D695" s="3" t="s">
        <v>126</v>
      </c>
      <c r="E695" s="3">
        <v>6.5</v>
      </c>
    </row>
    <row r="696" spans="1:5" s="5" customFormat="1" x14ac:dyDescent="0.15">
      <c r="A696" s="12" t="s">
        <v>4</v>
      </c>
      <c r="B696" s="12" t="s">
        <v>1</v>
      </c>
      <c r="C696" s="12">
        <v>200</v>
      </c>
      <c r="D696" s="3" t="s">
        <v>127</v>
      </c>
      <c r="E696" s="3">
        <v>7</v>
      </c>
    </row>
    <row r="697" spans="1:5" s="5" customFormat="1" x14ac:dyDescent="0.15">
      <c r="A697" s="12" t="s">
        <v>4</v>
      </c>
      <c r="B697" s="12" t="s">
        <v>1</v>
      </c>
      <c r="C697" s="12">
        <v>200</v>
      </c>
      <c r="D697" s="3" t="s">
        <v>128</v>
      </c>
      <c r="E697" s="3">
        <v>7.5</v>
      </c>
    </row>
    <row r="698" spans="1:5" s="5" customFormat="1" x14ac:dyDescent="0.15">
      <c r="A698" s="12" t="s">
        <v>4</v>
      </c>
      <c r="B698" s="12" t="s">
        <v>1</v>
      </c>
      <c r="C698" s="12">
        <v>200</v>
      </c>
      <c r="D698" s="3" t="s">
        <v>102</v>
      </c>
      <c r="E698" s="3">
        <v>8</v>
      </c>
    </row>
    <row r="699" spans="1:5" s="5" customFormat="1" x14ac:dyDescent="0.15">
      <c r="A699" s="12" t="s">
        <v>4</v>
      </c>
      <c r="B699" s="12" t="s">
        <v>1</v>
      </c>
      <c r="C699" s="12">
        <v>200</v>
      </c>
      <c r="D699" s="3" t="s">
        <v>129</v>
      </c>
      <c r="E699" s="3">
        <v>8.5</v>
      </c>
    </row>
    <row r="700" spans="1:5" s="5" customFormat="1" x14ac:dyDescent="0.15">
      <c r="A700" s="12" t="s">
        <v>4</v>
      </c>
      <c r="B700" s="12" t="s">
        <v>1</v>
      </c>
      <c r="C700" s="12">
        <v>200</v>
      </c>
      <c r="D700" s="3" t="s">
        <v>130</v>
      </c>
      <c r="E700" s="3">
        <v>9</v>
      </c>
    </row>
    <row r="701" spans="1:5" s="5" customFormat="1" x14ac:dyDescent="0.15">
      <c r="A701" s="12" t="s">
        <v>4</v>
      </c>
      <c r="B701" s="12" t="s">
        <v>1</v>
      </c>
      <c r="C701" s="12">
        <v>200</v>
      </c>
      <c r="D701" s="3" t="s">
        <v>131</v>
      </c>
      <c r="E701" s="3">
        <v>9.5</v>
      </c>
    </row>
    <row r="702" spans="1:5" s="5" customFormat="1" x14ac:dyDescent="0.15">
      <c r="A702" s="12" t="s">
        <v>4</v>
      </c>
      <c r="B702" s="12" t="s">
        <v>1</v>
      </c>
      <c r="C702" s="12">
        <v>200</v>
      </c>
      <c r="D702" s="3" t="s">
        <v>104</v>
      </c>
      <c r="E702" s="3">
        <v>10</v>
      </c>
    </row>
    <row r="703" spans="1:5" s="5" customFormat="1" x14ac:dyDescent="0.15">
      <c r="A703" s="12" t="s">
        <v>4</v>
      </c>
      <c r="B703" s="12" t="s">
        <v>1</v>
      </c>
      <c r="C703" s="12">
        <v>200</v>
      </c>
      <c r="D703" s="3" t="s">
        <v>105</v>
      </c>
      <c r="E703" s="3">
        <v>11</v>
      </c>
    </row>
    <row r="704" spans="1:5" s="5" customFormat="1" x14ac:dyDescent="0.15">
      <c r="A704" s="12" t="s">
        <v>4</v>
      </c>
      <c r="B704" s="12" t="s">
        <v>1</v>
      </c>
      <c r="C704" s="12">
        <v>200</v>
      </c>
      <c r="D704" s="3" t="s">
        <v>132</v>
      </c>
      <c r="E704" s="3">
        <v>12</v>
      </c>
    </row>
    <row r="705" spans="1:5" s="5" customFormat="1" x14ac:dyDescent="0.15">
      <c r="A705" s="12" t="s">
        <v>4</v>
      </c>
      <c r="B705" s="12" t="s">
        <v>1</v>
      </c>
      <c r="C705" s="12">
        <v>200</v>
      </c>
      <c r="D705" s="3" t="s">
        <v>133</v>
      </c>
      <c r="E705" s="3">
        <v>13</v>
      </c>
    </row>
    <row r="706" spans="1:5" s="5" customFormat="1" x14ac:dyDescent="0.15">
      <c r="A706" s="12" t="s">
        <v>4</v>
      </c>
      <c r="B706" s="12" t="s">
        <v>1</v>
      </c>
      <c r="C706" s="12">
        <v>200</v>
      </c>
      <c r="D706" s="3" t="s">
        <v>134</v>
      </c>
      <c r="E706" s="3">
        <v>14</v>
      </c>
    </row>
    <row r="707" spans="1:5" s="5" customFormat="1" x14ac:dyDescent="0.15">
      <c r="A707" s="12" t="s">
        <v>4</v>
      </c>
      <c r="B707" s="12" t="s">
        <v>1</v>
      </c>
      <c r="C707" s="12">
        <v>200</v>
      </c>
      <c r="D707" s="3" t="s">
        <v>135</v>
      </c>
      <c r="E707" s="3">
        <v>15</v>
      </c>
    </row>
    <row r="708" spans="1:5" s="5" customFormat="1" x14ac:dyDescent="0.15">
      <c r="A708" s="12" t="s">
        <v>4</v>
      </c>
      <c r="B708" s="12" t="s">
        <v>1</v>
      </c>
      <c r="C708" s="12">
        <v>200</v>
      </c>
      <c r="D708" s="3" t="s">
        <v>108</v>
      </c>
      <c r="E708" s="3">
        <v>16</v>
      </c>
    </row>
    <row r="709" spans="1:5" s="5" customFormat="1" x14ac:dyDescent="0.15">
      <c r="A709" s="12" t="s">
        <v>4</v>
      </c>
      <c r="B709" s="12" t="s">
        <v>1</v>
      </c>
      <c r="C709" s="12">
        <v>200</v>
      </c>
      <c r="D709" s="3" t="s">
        <v>136</v>
      </c>
      <c r="E709" s="3">
        <v>18</v>
      </c>
    </row>
    <row r="710" spans="1:5" s="5" customFormat="1" x14ac:dyDescent="0.15">
      <c r="A710" s="12" t="s">
        <v>4</v>
      </c>
      <c r="B710" s="12" t="s">
        <v>1</v>
      </c>
      <c r="C710" s="12">
        <v>200</v>
      </c>
      <c r="D710" s="3" t="s">
        <v>110</v>
      </c>
      <c r="E710" s="3">
        <v>20</v>
      </c>
    </row>
    <row r="711" spans="1:5" s="5" customFormat="1" x14ac:dyDescent="0.15">
      <c r="A711" s="12" t="s">
        <v>4</v>
      </c>
      <c r="B711" s="12" t="s">
        <v>1</v>
      </c>
      <c r="C711" s="12">
        <v>200</v>
      </c>
      <c r="D711" s="3" t="s">
        <v>137</v>
      </c>
      <c r="E711" s="3">
        <v>22</v>
      </c>
    </row>
    <row r="712" spans="1:5" s="5" customFormat="1" x14ac:dyDescent="0.15">
      <c r="A712" s="12" t="s">
        <v>4</v>
      </c>
      <c r="B712" s="12" t="s">
        <v>1</v>
      </c>
      <c r="C712" s="12">
        <v>200</v>
      </c>
      <c r="D712" s="3" t="s">
        <v>138</v>
      </c>
      <c r="E712" s="3">
        <v>24</v>
      </c>
    </row>
    <row r="713" spans="1:5" s="5" customFormat="1" x14ac:dyDescent="0.15">
      <c r="A713" s="12" t="s">
        <v>4</v>
      </c>
      <c r="B713" s="12" t="s">
        <v>1</v>
      </c>
      <c r="C713" s="12">
        <v>250</v>
      </c>
      <c r="D713" s="3" t="s">
        <v>120</v>
      </c>
      <c r="E713" s="3">
        <v>3.5</v>
      </c>
    </row>
    <row r="714" spans="1:5" s="5" customFormat="1" x14ac:dyDescent="0.15">
      <c r="A714" s="12" t="s">
        <v>4</v>
      </c>
      <c r="B714" s="12" t="s">
        <v>1</v>
      </c>
      <c r="C714" s="12">
        <v>250</v>
      </c>
      <c r="D714" s="3" t="s">
        <v>121</v>
      </c>
      <c r="E714" s="3">
        <v>4</v>
      </c>
    </row>
    <row r="715" spans="1:5" s="5" customFormat="1" x14ac:dyDescent="0.15">
      <c r="A715" s="12" t="s">
        <v>4</v>
      </c>
      <c r="B715" s="12" t="s">
        <v>1</v>
      </c>
      <c r="C715" s="12">
        <v>250</v>
      </c>
      <c r="D715" s="3" t="s">
        <v>122</v>
      </c>
      <c r="E715" s="3">
        <v>4.5</v>
      </c>
    </row>
    <row r="716" spans="1:5" s="5" customFormat="1" x14ac:dyDescent="0.15">
      <c r="A716" s="12" t="s">
        <v>4</v>
      </c>
      <c r="B716" s="12" t="s">
        <v>1</v>
      </c>
      <c r="C716" s="12">
        <v>250</v>
      </c>
      <c r="D716" s="3" t="s">
        <v>123</v>
      </c>
      <c r="E716" s="3">
        <v>5</v>
      </c>
    </row>
    <row r="717" spans="1:5" s="5" customFormat="1" x14ac:dyDescent="0.15">
      <c r="A717" s="12" t="s">
        <v>4</v>
      </c>
      <c r="B717" s="12" t="s">
        <v>1</v>
      </c>
      <c r="C717" s="12">
        <v>250</v>
      </c>
      <c r="D717" s="3" t="s">
        <v>124</v>
      </c>
      <c r="E717" s="3">
        <v>5.5</v>
      </c>
    </row>
    <row r="718" spans="1:5" s="5" customFormat="1" x14ac:dyDescent="0.15">
      <c r="A718" s="12" t="s">
        <v>4</v>
      </c>
      <c r="B718" s="12" t="s">
        <v>1</v>
      </c>
      <c r="C718" s="12">
        <v>250</v>
      </c>
      <c r="D718" s="3" t="s">
        <v>125</v>
      </c>
      <c r="E718" s="3">
        <v>6</v>
      </c>
    </row>
    <row r="719" spans="1:5" s="5" customFormat="1" x14ac:dyDescent="0.15">
      <c r="A719" s="12" t="s">
        <v>4</v>
      </c>
      <c r="B719" s="12" t="s">
        <v>1</v>
      </c>
      <c r="C719" s="12">
        <v>250</v>
      </c>
      <c r="D719" s="3" t="s">
        <v>126</v>
      </c>
      <c r="E719" s="3">
        <v>6.5</v>
      </c>
    </row>
    <row r="720" spans="1:5" s="5" customFormat="1" x14ac:dyDescent="0.15">
      <c r="A720" s="12" t="s">
        <v>4</v>
      </c>
      <c r="B720" s="12" t="s">
        <v>1</v>
      </c>
      <c r="C720" s="12">
        <v>250</v>
      </c>
      <c r="D720" s="3" t="s">
        <v>127</v>
      </c>
      <c r="E720" s="3">
        <v>7</v>
      </c>
    </row>
    <row r="721" spans="1:5" s="5" customFormat="1" x14ac:dyDescent="0.15">
      <c r="A721" s="12" t="s">
        <v>4</v>
      </c>
      <c r="B721" s="12" t="s">
        <v>1</v>
      </c>
      <c r="C721" s="12">
        <v>250</v>
      </c>
      <c r="D721" s="3" t="s">
        <v>128</v>
      </c>
      <c r="E721" s="3">
        <v>7.5</v>
      </c>
    </row>
    <row r="722" spans="1:5" s="5" customFormat="1" x14ac:dyDescent="0.15">
      <c r="A722" s="12" t="s">
        <v>4</v>
      </c>
      <c r="B722" s="12" t="s">
        <v>1</v>
      </c>
      <c r="C722" s="12">
        <v>250</v>
      </c>
      <c r="D722" s="3" t="s">
        <v>102</v>
      </c>
      <c r="E722" s="3">
        <v>8</v>
      </c>
    </row>
    <row r="723" spans="1:5" s="5" customFormat="1" x14ac:dyDescent="0.15">
      <c r="A723" s="12" t="s">
        <v>4</v>
      </c>
      <c r="B723" s="12" t="s">
        <v>1</v>
      </c>
      <c r="C723" s="12">
        <v>250</v>
      </c>
      <c r="D723" s="3" t="s">
        <v>129</v>
      </c>
      <c r="E723" s="3">
        <v>8.5</v>
      </c>
    </row>
    <row r="724" spans="1:5" s="5" customFormat="1" x14ac:dyDescent="0.15">
      <c r="A724" s="12" t="s">
        <v>4</v>
      </c>
      <c r="B724" s="12" t="s">
        <v>1</v>
      </c>
      <c r="C724" s="12">
        <v>250</v>
      </c>
      <c r="D724" s="3" t="s">
        <v>130</v>
      </c>
      <c r="E724" s="3">
        <v>9</v>
      </c>
    </row>
    <row r="725" spans="1:5" s="5" customFormat="1" x14ac:dyDescent="0.15">
      <c r="A725" s="12" t="s">
        <v>4</v>
      </c>
      <c r="B725" s="12" t="s">
        <v>1</v>
      </c>
      <c r="C725" s="12">
        <v>250</v>
      </c>
      <c r="D725" s="3" t="s">
        <v>131</v>
      </c>
      <c r="E725" s="3">
        <v>9.5</v>
      </c>
    </row>
    <row r="726" spans="1:5" s="5" customFormat="1" x14ac:dyDescent="0.15">
      <c r="A726" s="12" t="s">
        <v>4</v>
      </c>
      <c r="B726" s="12" t="s">
        <v>1</v>
      </c>
      <c r="C726" s="12">
        <v>250</v>
      </c>
      <c r="D726" s="3" t="s">
        <v>104</v>
      </c>
      <c r="E726" s="3">
        <v>10</v>
      </c>
    </row>
    <row r="727" spans="1:5" s="5" customFormat="1" x14ac:dyDescent="0.15">
      <c r="A727" s="12" t="s">
        <v>4</v>
      </c>
      <c r="B727" s="12" t="s">
        <v>1</v>
      </c>
      <c r="C727" s="12">
        <v>250</v>
      </c>
      <c r="D727" s="3" t="s">
        <v>105</v>
      </c>
      <c r="E727" s="3">
        <v>11</v>
      </c>
    </row>
    <row r="728" spans="1:5" s="5" customFormat="1" x14ac:dyDescent="0.15">
      <c r="A728" s="12" t="s">
        <v>4</v>
      </c>
      <c r="B728" s="12" t="s">
        <v>1</v>
      </c>
      <c r="C728" s="12">
        <v>250</v>
      </c>
      <c r="D728" s="3" t="s">
        <v>132</v>
      </c>
      <c r="E728" s="3">
        <v>12</v>
      </c>
    </row>
    <row r="729" spans="1:5" s="5" customFormat="1" x14ac:dyDescent="0.15">
      <c r="A729" s="12" t="s">
        <v>4</v>
      </c>
      <c r="B729" s="12" t="s">
        <v>1</v>
      </c>
      <c r="C729" s="12">
        <v>250</v>
      </c>
      <c r="D729" s="3" t="s">
        <v>133</v>
      </c>
      <c r="E729" s="3">
        <v>13</v>
      </c>
    </row>
    <row r="730" spans="1:5" s="5" customFormat="1" x14ac:dyDescent="0.15">
      <c r="A730" s="12" t="s">
        <v>4</v>
      </c>
      <c r="B730" s="12" t="s">
        <v>1</v>
      </c>
      <c r="C730" s="12">
        <v>250</v>
      </c>
      <c r="D730" s="3" t="s">
        <v>134</v>
      </c>
      <c r="E730" s="3">
        <v>14</v>
      </c>
    </row>
    <row r="731" spans="1:5" s="5" customFormat="1" x14ac:dyDescent="0.15">
      <c r="A731" s="12" t="s">
        <v>4</v>
      </c>
      <c r="B731" s="12" t="s">
        <v>1</v>
      </c>
      <c r="C731" s="12">
        <v>250</v>
      </c>
      <c r="D731" s="3" t="s">
        <v>135</v>
      </c>
      <c r="E731" s="3">
        <v>15</v>
      </c>
    </row>
    <row r="732" spans="1:5" s="5" customFormat="1" x14ac:dyDescent="0.15">
      <c r="A732" s="12" t="s">
        <v>4</v>
      </c>
      <c r="B732" s="12" t="s">
        <v>1</v>
      </c>
      <c r="C732" s="12">
        <v>250</v>
      </c>
      <c r="D732" s="3" t="s">
        <v>108</v>
      </c>
      <c r="E732" s="3">
        <v>16</v>
      </c>
    </row>
    <row r="733" spans="1:5" s="5" customFormat="1" x14ac:dyDescent="0.15">
      <c r="A733" s="12" t="s">
        <v>4</v>
      </c>
      <c r="B733" s="12" t="s">
        <v>1</v>
      </c>
      <c r="C733" s="12">
        <v>250</v>
      </c>
      <c r="D733" s="3" t="s">
        <v>136</v>
      </c>
      <c r="E733" s="3">
        <v>18</v>
      </c>
    </row>
    <row r="734" spans="1:5" s="5" customFormat="1" x14ac:dyDescent="0.15">
      <c r="A734" s="12" t="s">
        <v>4</v>
      </c>
      <c r="B734" s="12" t="s">
        <v>1</v>
      </c>
      <c r="C734" s="12">
        <v>250</v>
      </c>
      <c r="D734" s="3" t="s">
        <v>110</v>
      </c>
      <c r="E734" s="3">
        <v>20</v>
      </c>
    </row>
    <row r="735" spans="1:5" s="5" customFormat="1" x14ac:dyDescent="0.15">
      <c r="A735" s="12" t="s">
        <v>4</v>
      </c>
      <c r="B735" s="12" t="s">
        <v>1</v>
      </c>
      <c r="C735" s="12">
        <v>250</v>
      </c>
      <c r="D735" s="3" t="s">
        <v>137</v>
      </c>
      <c r="E735" s="3">
        <v>22</v>
      </c>
    </row>
    <row r="736" spans="1:5" s="5" customFormat="1" x14ac:dyDescent="0.15">
      <c r="A736" s="12" t="s">
        <v>4</v>
      </c>
      <c r="B736" s="12" t="s">
        <v>1</v>
      </c>
      <c r="C736" s="12">
        <v>250</v>
      </c>
      <c r="D736" s="3" t="s">
        <v>138</v>
      </c>
      <c r="E736" s="3">
        <v>24</v>
      </c>
    </row>
    <row r="737" spans="1:5" s="5" customFormat="1" x14ac:dyDescent="0.15">
      <c r="A737" s="12" t="s">
        <v>4</v>
      </c>
      <c r="B737" s="12" t="s">
        <v>1</v>
      </c>
      <c r="C737" s="12">
        <v>250</v>
      </c>
      <c r="D737" s="3" t="s">
        <v>139</v>
      </c>
      <c r="E737" s="3">
        <v>25</v>
      </c>
    </row>
    <row r="738" spans="1:5" s="5" customFormat="1" x14ac:dyDescent="0.15">
      <c r="A738" s="12" t="s">
        <v>4</v>
      </c>
      <c r="B738" s="12" t="s">
        <v>1</v>
      </c>
      <c r="C738" s="12">
        <v>250</v>
      </c>
      <c r="D738" s="3" t="s">
        <v>140</v>
      </c>
      <c r="E738" s="3">
        <v>28</v>
      </c>
    </row>
    <row r="739" spans="1:5" s="5" customFormat="1" x14ac:dyDescent="0.15">
      <c r="A739" s="12" t="s">
        <v>4</v>
      </c>
      <c r="B739" s="12" t="s">
        <v>1</v>
      </c>
      <c r="C739" s="12">
        <v>300</v>
      </c>
      <c r="D739" s="3" t="s">
        <v>121</v>
      </c>
      <c r="E739" s="3">
        <v>4</v>
      </c>
    </row>
    <row r="740" spans="1:5" s="5" customFormat="1" x14ac:dyDescent="0.15">
      <c r="A740" s="12" t="s">
        <v>4</v>
      </c>
      <c r="B740" s="12" t="s">
        <v>1</v>
      </c>
      <c r="C740" s="12">
        <v>300</v>
      </c>
      <c r="D740" s="3" t="s">
        <v>122</v>
      </c>
      <c r="E740" s="3">
        <v>4.5</v>
      </c>
    </row>
    <row r="741" spans="1:5" s="5" customFormat="1" x14ac:dyDescent="0.15">
      <c r="A741" s="12" t="s">
        <v>4</v>
      </c>
      <c r="B741" s="12" t="s">
        <v>1</v>
      </c>
      <c r="C741" s="12">
        <v>300</v>
      </c>
      <c r="D741" s="3" t="s">
        <v>123</v>
      </c>
      <c r="E741" s="3">
        <v>5</v>
      </c>
    </row>
    <row r="742" spans="1:5" s="5" customFormat="1" x14ac:dyDescent="0.15">
      <c r="A742" s="12" t="s">
        <v>4</v>
      </c>
      <c r="B742" s="12" t="s">
        <v>1</v>
      </c>
      <c r="C742" s="12">
        <v>300</v>
      </c>
      <c r="D742" s="3" t="s">
        <v>124</v>
      </c>
      <c r="E742" s="3">
        <v>5.5</v>
      </c>
    </row>
    <row r="743" spans="1:5" s="5" customFormat="1" x14ac:dyDescent="0.15">
      <c r="A743" s="12" t="s">
        <v>4</v>
      </c>
      <c r="B743" s="12" t="s">
        <v>1</v>
      </c>
      <c r="C743" s="12">
        <v>300</v>
      </c>
      <c r="D743" s="3" t="s">
        <v>125</v>
      </c>
      <c r="E743" s="3">
        <v>6</v>
      </c>
    </row>
    <row r="744" spans="1:5" s="5" customFormat="1" x14ac:dyDescent="0.15">
      <c r="A744" s="12" t="s">
        <v>4</v>
      </c>
      <c r="B744" s="12" t="s">
        <v>1</v>
      </c>
      <c r="C744" s="12">
        <v>300</v>
      </c>
      <c r="D744" s="3" t="s">
        <v>126</v>
      </c>
      <c r="E744" s="3">
        <v>6.5</v>
      </c>
    </row>
    <row r="745" spans="1:5" s="5" customFormat="1" x14ac:dyDescent="0.15">
      <c r="A745" s="12" t="s">
        <v>4</v>
      </c>
      <c r="B745" s="12" t="s">
        <v>1</v>
      </c>
      <c r="C745" s="12">
        <v>300</v>
      </c>
      <c r="D745" s="3" t="s">
        <v>127</v>
      </c>
      <c r="E745" s="3">
        <v>7</v>
      </c>
    </row>
    <row r="746" spans="1:5" s="5" customFormat="1" x14ac:dyDescent="0.15">
      <c r="A746" s="12" t="s">
        <v>4</v>
      </c>
      <c r="B746" s="12" t="s">
        <v>1</v>
      </c>
      <c r="C746" s="12">
        <v>300</v>
      </c>
      <c r="D746" s="3" t="s">
        <v>128</v>
      </c>
      <c r="E746" s="3">
        <v>7.5</v>
      </c>
    </row>
    <row r="747" spans="1:5" s="5" customFormat="1" x14ac:dyDescent="0.15">
      <c r="A747" s="12" t="s">
        <v>4</v>
      </c>
      <c r="B747" s="12" t="s">
        <v>1</v>
      </c>
      <c r="C747" s="12">
        <v>300</v>
      </c>
      <c r="D747" s="3" t="s">
        <v>102</v>
      </c>
      <c r="E747" s="3">
        <v>8</v>
      </c>
    </row>
    <row r="748" spans="1:5" s="5" customFormat="1" x14ac:dyDescent="0.15">
      <c r="A748" s="12" t="s">
        <v>4</v>
      </c>
      <c r="B748" s="12" t="s">
        <v>1</v>
      </c>
      <c r="C748" s="12">
        <v>300</v>
      </c>
      <c r="D748" s="3" t="s">
        <v>129</v>
      </c>
      <c r="E748" s="3">
        <v>8.5</v>
      </c>
    </row>
    <row r="749" spans="1:5" s="5" customFormat="1" x14ac:dyDescent="0.15">
      <c r="A749" s="12" t="s">
        <v>4</v>
      </c>
      <c r="B749" s="12" t="s">
        <v>1</v>
      </c>
      <c r="C749" s="12">
        <v>300</v>
      </c>
      <c r="D749" s="3" t="s">
        <v>130</v>
      </c>
      <c r="E749" s="3">
        <v>9</v>
      </c>
    </row>
    <row r="750" spans="1:5" s="5" customFormat="1" x14ac:dyDescent="0.15">
      <c r="A750" s="12" t="s">
        <v>4</v>
      </c>
      <c r="B750" s="12" t="s">
        <v>1</v>
      </c>
      <c r="C750" s="12">
        <v>300</v>
      </c>
      <c r="D750" s="3" t="s">
        <v>131</v>
      </c>
      <c r="E750" s="3">
        <v>9.5</v>
      </c>
    </row>
    <row r="751" spans="1:5" s="5" customFormat="1" x14ac:dyDescent="0.15">
      <c r="A751" s="12" t="s">
        <v>4</v>
      </c>
      <c r="B751" s="12" t="s">
        <v>1</v>
      </c>
      <c r="C751" s="12">
        <v>300</v>
      </c>
      <c r="D751" s="3" t="s">
        <v>104</v>
      </c>
      <c r="E751" s="3">
        <v>10</v>
      </c>
    </row>
    <row r="752" spans="1:5" s="5" customFormat="1" x14ac:dyDescent="0.15">
      <c r="A752" s="12" t="s">
        <v>4</v>
      </c>
      <c r="B752" s="12" t="s">
        <v>1</v>
      </c>
      <c r="C752" s="12">
        <v>300</v>
      </c>
      <c r="D752" s="3" t="s">
        <v>105</v>
      </c>
      <c r="E752" s="3">
        <v>11</v>
      </c>
    </row>
    <row r="753" spans="1:5" s="5" customFormat="1" x14ac:dyDescent="0.15">
      <c r="A753" s="12" t="s">
        <v>4</v>
      </c>
      <c r="B753" s="12" t="s">
        <v>1</v>
      </c>
      <c r="C753" s="12">
        <v>300</v>
      </c>
      <c r="D753" s="3" t="s">
        <v>132</v>
      </c>
      <c r="E753" s="3">
        <v>12</v>
      </c>
    </row>
    <row r="754" spans="1:5" s="5" customFormat="1" x14ac:dyDescent="0.15">
      <c r="A754" s="12" t="s">
        <v>4</v>
      </c>
      <c r="B754" s="12" t="s">
        <v>1</v>
      </c>
      <c r="C754" s="12">
        <v>300</v>
      </c>
      <c r="D754" s="3" t="s">
        <v>133</v>
      </c>
      <c r="E754" s="3">
        <v>13</v>
      </c>
    </row>
    <row r="755" spans="1:5" s="5" customFormat="1" x14ac:dyDescent="0.15">
      <c r="A755" s="12" t="s">
        <v>4</v>
      </c>
      <c r="B755" s="12" t="s">
        <v>1</v>
      </c>
      <c r="C755" s="12">
        <v>300</v>
      </c>
      <c r="D755" s="3" t="s">
        <v>134</v>
      </c>
      <c r="E755" s="3">
        <v>14</v>
      </c>
    </row>
    <row r="756" spans="1:5" s="5" customFormat="1" x14ac:dyDescent="0.15">
      <c r="A756" s="12" t="s">
        <v>4</v>
      </c>
      <c r="B756" s="12" t="s">
        <v>1</v>
      </c>
      <c r="C756" s="12">
        <v>300</v>
      </c>
      <c r="D756" s="3" t="s">
        <v>135</v>
      </c>
      <c r="E756" s="3">
        <v>15</v>
      </c>
    </row>
    <row r="757" spans="1:5" s="5" customFormat="1" x14ac:dyDescent="0.15">
      <c r="A757" s="12" t="s">
        <v>4</v>
      </c>
      <c r="B757" s="12" t="s">
        <v>1</v>
      </c>
      <c r="C757" s="12">
        <v>300</v>
      </c>
      <c r="D757" s="3" t="s">
        <v>108</v>
      </c>
      <c r="E757" s="3">
        <v>16</v>
      </c>
    </row>
    <row r="758" spans="1:5" s="5" customFormat="1" x14ac:dyDescent="0.15">
      <c r="A758" s="12" t="s">
        <v>4</v>
      </c>
      <c r="B758" s="12" t="s">
        <v>1</v>
      </c>
      <c r="C758" s="12">
        <v>300</v>
      </c>
      <c r="D758" s="3" t="s">
        <v>136</v>
      </c>
      <c r="E758" s="3">
        <v>18</v>
      </c>
    </row>
    <row r="759" spans="1:5" s="5" customFormat="1" x14ac:dyDescent="0.15">
      <c r="A759" s="12" t="s">
        <v>4</v>
      </c>
      <c r="B759" s="12" t="s">
        <v>1</v>
      </c>
      <c r="C759" s="12">
        <v>300</v>
      </c>
      <c r="D759" s="3" t="s">
        <v>110</v>
      </c>
      <c r="E759" s="3">
        <v>20</v>
      </c>
    </row>
    <row r="760" spans="1:5" s="5" customFormat="1" x14ac:dyDescent="0.15">
      <c r="A760" s="12" t="s">
        <v>4</v>
      </c>
      <c r="B760" s="12" t="s">
        <v>1</v>
      </c>
      <c r="C760" s="12">
        <v>300</v>
      </c>
      <c r="D760" s="3" t="s">
        <v>137</v>
      </c>
      <c r="E760" s="3">
        <v>22</v>
      </c>
    </row>
    <row r="761" spans="1:5" s="5" customFormat="1" x14ac:dyDescent="0.15">
      <c r="A761" s="12" t="s">
        <v>4</v>
      </c>
      <c r="B761" s="12" t="s">
        <v>1</v>
      </c>
      <c r="C761" s="12">
        <v>300</v>
      </c>
      <c r="D761" s="3" t="s">
        <v>138</v>
      </c>
      <c r="E761" s="3">
        <v>24</v>
      </c>
    </row>
    <row r="762" spans="1:5" s="5" customFormat="1" x14ac:dyDescent="0.15">
      <c r="A762" s="12" t="s">
        <v>4</v>
      </c>
      <c r="B762" s="12" t="s">
        <v>1</v>
      </c>
      <c r="C762" s="12">
        <v>300</v>
      </c>
      <c r="D762" s="3" t="s">
        <v>139</v>
      </c>
      <c r="E762" s="3">
        <v>25</v>
      </c>
    </row>
    <row r="763" spans="1:5" s="5" customFormat="1" x14ac:dyDescent="0.15">
      <c r="A763" s="12" t="s">
        <v>4</v>
      </c>
      <c r="B763" s="12" t="s">
        <v>1</v>
      </c>
      <c r="C763" s="12">
        <v>300</v>
      </c>
      <c r="D763" s="3" t="s">
        <v>140</v>
      </c>
      <c r="E763" s="3">
        <v>28</v>
      </c>
    </row>
    <row r="764" spans="1:5" s="5" customFormat="1" x14ac:dyDescent="0.15">
      <c r="A764" s="12" t="s">
        <v>4</v>
      </c>
      <c r="B764" s="12" t="s">
        <v>1</v>
      </c>
      <c r="C764" s="12">
        <v>300</v>
      </c>
      <c r="D764" s="3" t="s">
        <v>141</v>
      </c>
      <c r="E764" s="3">
        <v>30</v>
      </c>
    </row>
    <row r="765" spans="1:5" s="5" customFormat="1" x14ac:dyDescent="0.15">
      <c r="A765" s="12" t="s">
        <v>4</v>
      </c>
      <c r="B765" s="12" t="s">
        <v>1</v>
      </c>
      <c r="C765" s="12">
        <v>300</v>
      </c>
      <c r="D765" s="3" t="s">
        <v>142</v>
      </c>
      <c r="E765" s="3">
        <v>32</v>
      </c>
    </row>
    <row r="766" spans="1:5" s="5" customFormat="1" x14ac:dyDescent="0.15">
      <c r="A766" s="12" t="s">
        <v>4</v>
      </c>
      <c r="B766" s="12" t="s">
        <v>1</v>
      </c>
      <c r="C766" s="12">
        <v>350</v>
      </c>
      <c r="D766" s="3" t="s">
        <v>121</v>
      </c>
      <c r="E766" s="3">
        <v>4</v>
      </c>
    </row>
    <row r="767" spans="1:5" s="5" customFormat="1" x14ac:dyDescent="0.15">
      <c r="A767" s="12" t="s">
        <v>4</v>
      </c>
      <c r="B767" s="12" t="s">
        <v>1</v>
      </c>
      <c r="C767" s="12">
        <v>350</v>
      </c>
      <c r="D767" s="3" t="s">
        <v>122</v>
      </c>
      <c r="E767" s="3">
        <v>4.5</v>
      </c>
    </row>
    <row r="768" spans="1:5" s="5" customFormat="1" x14ac:dyDescent="0.15">
      <c r="A768" s="12" t="s">
        <v>4</v>
      </c>
      <c r="B768" s="12" t="s">
        <v>1</v>
      </c>
      <c r="C768" s="12">
        <v>350</v>
      </c>
      <c r="D768" s="3" t="s">
        <v>123</v>
      </c>
      <c r="E768" s="3">
        <v>5</v>
      </c>
    </row>
    <row r="769" spans="1:5" s="5" customFormat="1" x14ac:dyDescent="0.15">
      <c r="A769" s="12" t="s">
        <v>4</v>
      </c>
      <c r="B769" s="12" t="s">
        <v>1</v>
      </c>
      <c r="C769" s="12">
        <v>350</v>
      </c>
      <c r="D769" s="3" t="s">
        <v>124</v>
      </c>
      <c r="E769" s="3">
        <v>5.5</v>
      </c>
    </row>
    <row r="770" spans="1:5" s="5" customFormat="1" x14ac:dyDescent="0.15">
      <c r="A770" s="12" t="s">
        <v>4</v>
      </c>
      <c r="B770" s="12" t="s">
        <v>1</v>
      </c>
      <c r="C770" s="12">
        <v>350</v>
      </c>
      <c r="D770" s="3" t="s">
        <v>125</v>
      </c>
      <c r="E770" s="3">
        <v>6</v>
      </c>
    </row>
    <row r="771" spans="1:5" s="5" customFormat="1" x14ac:dyDescent="0.15">
      <c r="A771" s="12" t="s">
        <v>4</v>
      </c>
      <c r="B771" s="12" t="s">
        <v>1</v>
      </c>
      <c r="C771" s="12">
        <v>350</v>
      </c>
      <c r="D771" s="3" t="s">
        <v>126</v>
      </c>
      <c r="E771" s="3">
        <v>6.5</v>
      </c>
    </row>
    <row r="772" spans="1:5" s="5" customFormat="1" x14ac:dyDescent="0.15">
      <c r="A772" s="12" t="s">
        <v>4</v>
      </c>
      <c r="B772" s="12" t="s">
        <v>1</v>
      </c>
      <c r="C772" s="12">
        <v>350</v>
      </c>
      <c r="D772" s="3" t="s">
        <v>127</v>
      </c>
      <c r="E772" s="3">
        <v>7</v>
      </c>
    </row>
    <row r="773" spans="1:5" s="5" customFormat="1" x14ac:dyDescent="0.15">
      <c r="A773" s="12" t="s">
        <v>4</v>
      </c>
      <c r="B773" s="12" t="s">
        <v>1</v>
      </c>
      <c r="C773" s="12">
        <v>350</v>
      </c>
      <c r="D773" s="3" t="s">
        <v>128</v>
      </c>
      <c r="E773" s="3">
        <v>7.5</v>
      </c>
    </row>
    <row r="774" spans="1:5" s="5" customFormat="1" x14ac:dyDescent="0.15">
      <c r="A774" s="12" t="s">
        <v>4</v>
      </c>
      <c r="B774" s="12" t="s">
        <v>1</v>
      </c>
      <c r="C774" s="12">
        <v>350</v>
      </c>
      <c r="D774" s="3" t="s">
        <v>102</v>
      </c>
      <c r="E774" s="3">
        <v>8</v>
      </c>
    </row>
    <row r="775" spans="1:5" s="5" customFormat="1" x14ac:dyDescent="0.15">
      <c r="A775" s="12" t="s">
        <v>4</v>
      </c>
      <c r="B775" s="12" t="s">
        <v>1</v>
      </c>
      <c r="C775" s="12">
        <v>350</v>
      </c>
      <c r="D775" s="3" t="s">
        <v>129</v>
      </c>
      <c r="E775" s="3">
        <v>8.5</v>
      </c>
    </row>
    <row r="776" spans="1:5" s="5" customFormat="1" x14ac:dyDescent="0.15">
      <c r="A776" s="12" t="s">
        <v>4</v>
      </c>
      <c r="B776" s="12" t="s">
        <v>1</v>
      </c>
      <c r="C776" s="12">
        <v>350</v>
      </c>
      <c r="D776" s="3" t="s">
        <v>130</v>
      </c>
      <c r="E776" s="3">
        <v>9</v>
      </c>
    </row>
    <row r="777" spans="1:5" s="5" customFormat="1" x14ac:dyDescent="0.15">
      <c r="A777" s="12" t="s">
        <v>4</v>
      </c>
      <c r="B777" s="12" t="s">
        <v>1</v>
      </c>
      <c r="C777" s="12">
        <v>350</v>
      </c>
      <c r="D777" s="3" t="s">
        <v>131</v>
      </c>
      <c r="E777" s="3">
        <v>9.5</v>
      </c>
    </row>
    <row r="778" spans="1:5" s="5" customFormat="1" x14ac:dyDescent="0.15">
      <c r="A778" s="12" t="s">
        <v>4</v>
      </c>
      <c r="B778" s="12" t="s">
        <v>1</v>
      </c>
      <c r="C778" s="12">
        <v>350</v>
      </c>
      <c r="D778" s="3" t="s">
        <v>104</v>
      </c>
      <c r="E778" s="3">
        <v>10</v>
      </c>
    </row>
    <row r="779" spans="1:5" s="5" customFormat="1" x14ac:dyDescent="0.15">
      <c r="A779" s="12" t="s">
        <v>4</v>
      </c>
      <c r="B779" s="12" t="s">
        <v>1</v>
      </c>
      <c r="C779" s="12">
        <v>350</v>
      </c>
      <c r="D779" s="3" t="s">
        <v>105</v>
      </c>
      <c r="E779" s="3">
        <v>11</v>
      </c>
    </row>
    <row r="780" spans="1:5" s="5" customFormat="1" x14ac:dyDescent="0.15">
      <c r="A780" s="12" t="s">
        <v>4</v>
      </c>
      <c r="B780" s="12" t="s">
        <v>1</v>
      </c>
      <c r="C780" s="12">
        <v>350</v>
      </c>
      <c r="D780" s="3" t="s">
        <v>132</v>
      </c>
      <c r="E780" s="3">
        <v>12</v>
      </c>
    </row>
    <row r="781" spans="1:5" s="5" customFormat="1" x14ac:dyDescent="0.15">
      <c r="A781" s="12" t="s">
        <v>4</v>
      </c>
      <c r="B781" s="12" t="s">
        <v>1</v>
      </c>
      <c r="C781" s="12">
        <v>350</v>
      </c>
      <c r="D781" s="3" t="s">
        <v>133</v>
      </c>
      <c r="E781" s="3">
        <v>13</v>
      </c>
    </row>
    <row r="782" spans="1:5" s="5" customFormat="1" x14ac:dyDescent="0.15">
      <c r="A782" s="12" t="s">
        <v>4</v>
      </c>
      <c r="B782" s="12" t="s">
        <v>1</v>
      </c>
      <c r="C782" s="12">
        <v>350</v>
      </c>
      <c r="D782" s="3" t="s">
        <v>134</v>
      </c>
      <c r="E782" s="3">
        <v>14</v>
      </c>
    </row>
    <row r="783" spans="1:5" s="5" customFormat="1" x14ac:dyDescent="0.15">
      <c r="A783" s="12" t="s">
        <v>4</v>
      </c>
      <c r="B783" s="12" t="s">
        <v>1</v>
      </c>
      <c r="C783" s="12">
        <v>350</v>
      </c>
      <c r="D783" s="3" t="s">
        <v>135</v>
      </c>
      <c r="E783" s="3">
        <v>15</v>
      </c>
    </row>
    <row r="784" spans="1:5" s="5" customFormat="1" x14ac:dyDescent="0.15">
      <c r="A784" s="12" t="s">
        <v>4</v>
      </c>
      <c r="B784" s="12" t="s">
        <v>1</v>
      </c>
      <c r="C784" s="12">
        <v>350</v>
      </c>
      <c r="D784" s="3" t="s">
        <v>108</v>
      </c>
      <c r="E784" s="3">
        <v>16</v>
      </c>
    </row>
    <row r="785" spans="1:5" s="5" customFormat="1" x14ac:dyDescent="0.15">
      <c r="A785" s="12" t="s">
        <v>4</v>
      </c>
      <c r="B785" s="12" t="s">
        <v>1</v>
      </c>
      <c r="C785" s="12">
        <v>350</v>
      </c>
      <c r="D785" s="3" t="s">
        <v>136</v>
      </c>
      <c r="E785" s="3">
        <v>18</v>
      </c>
    </row>
    <row r="786" spans="1:5" s="5" customFormat="1" x14ac:dyDescent="0.15">
      <c r="A786" s="12" t="s">
        <v>4</v>
      </c>
      <c r="B786" s="12" t="s">
        <v>1</v>
      </c>
      <c r="C786" s="12">
        <v>350</v>
      </c>
      <c r="D786" s="3" t="s">
        <v>110</v>
      </c>
      <c r="E786" s="3">
        <v>20</v>
      </c>
    </row>
    <row r="787" spans="1:5" s="5" customFormat="1" x14ac:dyDescent="0.15">
      <c r="A787" s="12" t="s">
        <v>4</v>
      </c>
      <c r="B787" s="12" t="s">
        <v>1</v>
      </c>
      <c r="C787" s="12">
        <v>350</v>
      </c>
      <c r="D787" s="3" t="s">
        <v>137</v>
      </c>
      <c r="E787" s="3">
        <v>22</v>
      </c>
    </row>
    <row r="788" spans="1:5" s="5" customFormat="1" x14ac:dyDescent="0.15">
      <c r="A788" s="12" t="s">
        <v>4</v>
      </c>
      <c r="B788" s="12" t="s">
        <v>1</v>
      </c>
      <c r="C788" s="12">
        <v>350</v>
      </c>
      <c r="D788" s="3" t="s">
        <v>138</v>
      </c>
      <c r="E788" s="3">
        <v>24</v>
      </c>
    </row>
    <row r="789" spans="1:5" s="5" customFormat="1" x14ac:dyDescent="0.15">
      <c r="A789" s="12" t="s">
        <v>4</v>
      </c>
      <c r="B789" s="12" t="s">
        <v>1</v>
      </c>
      <c r="C789" s="12">
        <v>350</v>
      </c>
      <c r="D789" s="3" t="s">
        <v>139</v>
      </c>
      <c r="E789" s="3">
        <v>25</v>
      </c>
    </row>
    <row r="790" spans="1:5" x14ac:dyDescent="0.15">
      <c r="A790" s="12" t="s">
        <v>4</v>
      </c>
      <c r="B790" s="12" t="s">
        <v>1</v>
      </c>
      <c r="C790" s="12">
        <v>350</v>
      </c>
      <c r="D790" s="3" t="s">
        <v>140</v>
      </c>
      <c r="E790" s="3">
        <v>28</v>
      </c>
    </row>
    <row r="791" spans="1:5" x14ac:dyDescent="0.15">
      <c r="A791" s="12" t="s">
        <v>4</v>
      </c>
      <c r="B791" s="12" t="s">
        <v>1</v>
      </c>
      <c r="C791" s="12">
        <v>350</v>
      </c>
      <c r="D791" s="3" t="s">
        <v>141</v>
      </c>
      <c r="E791" s="3">
        <v>30</v>
      </c>
    </row>
    <row r="792" spans="1:5" x14ac:dyDescent="0.15">
      <c r="A792" s="12" t="s">
        <v>4</v>
      </c>
      <c r="B792" s="12" t="s">
        <v>1</v>
      </c>
      <c r="C792" s="12">
        <v>350</v>
      </c>
      <c r="D792" s="3" t="s">
        <v>142</v>
      </c>
      <c r="E792" s="3">
        <v>32</v>
      </c>
    </row>
    <row r="793" spans="1:5" x14ac:dyDescent="0.15">
      <c r="A793" s="12" t="s">
        <v>4</v>
      </c>
      <c r="B793" s="12" t="s">
        <v>1</v>
      </c>
      <c r="C793" s="12">
        <v>350</v>
      </c>
      <c r="D793" s="3" t="s">
        <v>143</v>
      </c>
      <c r="E793" s="3">
        <v>34</v>
      </c>
    </row>
    <row r="794" spans="1:5" x14ac:dyDescent="0.15">
      <c r="A794" s="12" t="s">
        <v>4</v>
      </c>
      <c r="B794" s="12" t="s">
        <v>1</v>
      </c>
      <c r="C794" s="12">
        <v>350</v>
      </c>
      <c r="D794" s="3" t="s">
        <v>144</v>
      </c>
      <c r="E794" s="3">
        <v>36</v>
      </c>
    </row>
    <row r="795" spans="1:5" x14ac:dyDescent="0.15">
      <c r="A795" s="12" t="s">
        <v>4</v>
      </c>
      <c r="B795" s="12" t="s">
        <v>1</v>
      </c>
      <c r="C795" s="12">
        <v>400</v>
      </c>
      <c r="D795" s="3" t="s">
        <v>121</v>
      </c>
      <c r="E795" s="3">
        <v>4</v>
      </c>
    </row>
    <row r="796" spans="1:5" x14ac:dyDescent="0.15">
      <c r="A796" s="12" t="s">
        <v>4</v>
      </c>
      <c r="B796" s="12" t="s">
        <v>1</v>
      </c>
      <c r="C796" s="12">
        <v>400</v>
      </c>
      <c r="D796" s="3" t="s">
        <v>122</v>
      </c>
      <c r="E796" s="3">
        <v>4.5</v>
      </c>
    </row>
    <row r="797" spans="1:5" x14ac:dyDescent="0.15">
      <c r="A797" s="12" t="s">
        <v>4</v>
      </c>
      <c r="B797" s="12" t="s">
        <v>1</v>
      </c>
      <c r="C797" s="12">
        <v>400</v>
      </c>
      <c r="D797" s="3" t="s">
        <v>123</v>
      </c>
      <c r="E797" s="3">
        <v>5</v>
      </c>
    </row>
    <row r="798" spans="1:5" x14ac:dyDescent="0.15">
      <c r="A798" s="12" t="s">
        <v>4</v>
      </c>
      <c r="B798" s="12" t="s">
        <v>1</v>
      </c>
      <c r="C798" s="12">
        <v>400</v>
      </c>
      <c r="D798" s="3" t="s">
        <v>124</v>
      </c>
      <c r="E798" s="3">
        <v>5.5</v>
      </c>
    </row>
    <row r="799" spans="1:5" x14ac:dyDescent="0.15">
      <c r="A799" s="12" t="s">
        <v>4</v>
      </c>
      <c r="B799" s="12" t="s">
        <v>1</v>
      </c>
      <c r="C799" s="12">
        <v>400</v>
      </c>
      <c r="D799" s="3" t="s">
        <v>125</v>
      </c>
      <c r="E799" s="3">
        <v>6</v>
      </c>
    </row>
    <row r="800" spans="1:5" x14ac:dyDescent="0.15">
      <c r="A800" s="12" t="s">
        <v>4</v>
      </c>
      <c r="B800" s="12" t="s">
        <v>1</v>
      </c>
      <c r="C800" s="12">
        <v>400</v>
      </c>
      <c r="D800" s="3" t="s">
        <v>126</v>
      </c>
      <c r="E800" s="3">
        <v>6.5</v>
      </c>
    </row>
    <row r="801" spans="1:5" x14ac:dyDescent="0.15">
      <c r="A801" s="12" t="s">
        <v>4</v>
      </c>
      <c r="B801" s="12" t="s">
        <v>1</v>
      </c>
      <c r="C801" s="12">
        <v>400</v>
      </c>
      <c r="D801" s="3" t="s">
        <v>127</v>
      </c>
      <c r="E801" s="3">
        <v>7</v>
      </c>
    </row>
    <row r="802" spans="1:5" x14ac:dyDescent="0.15">
      <c r="A802" s="12" t="s">
        <v>4</v>
      </c>
      <c r="B802" s="12" t="s">
        <v>1</v>
      </c>
      <c r="C802" s="12">
        <v>400</v>
      </c>
      <c r="D802" s="3" t="s">
        <v>128</v>
      </c>
      <c r="E802" s="3">
        <v>7.5</v>
      </c>
    </row>
    <row r="803" spans="1:5" x14ac:dyDescent="0.15">
      <c r="A803" s="12" t="s">
        <v>4</v>
      </c>
      <c r="B803" s="12" t="s">
        <v>1</v>
      </c>
      <c r="C803" s="12">
        <v>400</v>
      </c>
      <c r="D803" s="3" t="s">
        <v>102</v>
      </c>
      <c r="E803" s="3">
        <v>8</v>
      </c>
    </row>
    <row r="804" spans="1:5" x14ac:dyDescent="0.15">
      <c r="A804" s="12" t="s">
        <v>4</v>
      </c>
      <c r="B804" s="12" t="s">
        <v>1</v>
      </c>
      <c r="C804" s="12">
        <v>400</v>
      </c>
      <c r="D804" s="3" t="s">
        <v>129</v>
      </c>
      <c r="E804" s="3">
        <v>8.5</v>
      </c>
    </row>
    <row r="805" spans="1:5" x14ac:dyDescent="0.15">
      <c r="A805" s="12" t="s">
        <v>4</v>
      </c>
      <c r="B805" s="12" t="s">
        <v>1</v>
      </c>
      <c r="C805" s="12">
        <v>400</v>
      </c>
      <c r="D805" s="3" t="s">
        <v>130</v>
      </c>
      <c r="E805" s="3">
        <v>9</v>
      </c>
    </row>
    <row r="806" spans="1:5" x14ac:dyDescent="0.15">
      <c r="A806" s="12" t="s">
        <v>4</v>
      </c>
      <c r="B806" s="12" t="s">
        <v>1</v>
      </c>
      <c r="C806" s="12">
        <v>400</v>
      </c>
      <c r="D806" s="3" t="s">
        <v>131</v>
      </c>
      <c r="E806" s="3">
        <v>9.5</v>
      </c>
    </row>
    <row r="807" spans="1:5" x14ac:dyDescent="0.15">
      <c r="A807" s="12" t="s">
        <v>4</v>
      </c>
      <c r="B807" s="12" t="s">
        <v>1</v>
      </c>
      <c r="C807" s="12">
        <v>400</v>
      </c>
      <c r="D807" s="3" t="s">
        <v>104</v>
      </c>
      <c r="E807" s="3">
        <v>10</v>
      </c>
    </row>
    <row r="808" spans="1:5" x14ac:dyDescent="0.15">
      <c r="A808" s="12" t="s">
        <v>4</v>
      </c>
      <c r="B808" s="12" t="s">
        <v>1</v>
      </c>
      <c r="C808" s="12">
        <v>400</v>
      </c>
      <c r="D808" s="3" t="s">
        <v>105</v>
      </c>
      <c r="E808" s="3">
        <v>11</v>
      </c>
    </row>
    <row r="809" spans="1:5" x14ac:dyDescent="0.15">
      <c r="A809" s="12" t="s">
        <v>4</v>
      </c>
      <c r="B809" s="12" t="s">
        <v>1</v>
      </c>
      <c r="C809" s="12">
        <v>400</v>
      </c>
      <c r="D809" s="3" t="s">
        <v>132</v>
      </c>
      <c r="E809" s="3">
        <v>12</v>
      </c>
    </row>
    <row r="810" spans="1:5" x14ac:dyDescent="0.15">
      <c r="A810" s="12" t="s">
        <v>4</v>
      </c>
      <c r="B810" s="12" t="s">
        <v>1</v>
      </c>
      <c r="C810" s="12">
        <v>400</v>
      </c>
      <c r="D810" s="3" t="s">
        <v>133</v>
      </c>
      <c r="E810" s="3">
        <v>13</v>
      </c>
    </row>
    <row r="811" spans="1:5" x14ac:dyDescent="0.15">
      <c r="A811" s="12" t="s">
        <v>4</v>
      </c>
      <c r="B811" s="12" t="s">
        <v>1</v>
      </c>
      <c r="C811" s="12">
        <v>400</v>
      </c>
      <c r="D811" s="3" t="s">
        <v>134</v>
      </c>
      <c r="E811" s="3">
        <v>14</v>
      </c>
    </row>
    <row r="812" spans="1:5" x14ac:dyDescent="0.15">
      <c r="A812" s="12" t="s">
        <v>4</v>
      </c>
      <c r="B812" s="12" t="s">
        <v>1</v>
      </c>
      <c r="C812" s="12">
        <v>400</v>
      </c>
      <c r="D812" s="3" t="s">
        <v>135</v>
      </c>
      <c r="E812" s="3">
        <v>15</v>
      </c>
    </row>
    <row r="813" spans="1:5" x14ac:dyDescent="0.15">
      <c r="A813" s="12" t="s">
        <v>4</v>
      </c>
      <c r="B813" s="12" t="s">
        <v>1</v>
      </c>
      <c r="C813" s="12">
        <v>400</v>
      </c>
      <c r="D813" s="3" t="s">
        <v>108</v>
      </c>
      <c r="E813" s="3">
        <v>16</v>
      </c>
    </row>
    <row r="814" spans="1:5" x14ac:dyDescent="0.15">
      <c r="A814" s="12" t="s">
        <v>4</v>
      </c>
      <c r="B814" s="12" t="s">
        <v>1</v>
      </c>
      <c r="C814" s="12">
        <v>400</v>
      </c>
      <c r="D814" s="3" t="s">
        <v>136</v>
      </c>
      <c r="E814" s="3">
        <v>18</v>
      </c>
    </row>
    <row r="815" spans="1:5" x14ac:dyDescent="0.15">
      <c r="A815" s="12" t="s">
        <v>4</v>
      </c>
      <c r="B815" s="12" t="s">
        <v>1</v>
      </c>
      <c r="C815" s="12">
        <v>400</v>
      </c>
      <c r="D815" s="3" t="s">
        <v>110</v>
      </c>
      <c r="E815" s="3">
        <v>20</v>
      </c>
    </row>
    <row r="816" spans="1:5" x14ac:dyDescent="0.15">
      <c r="A816" s="12" t="s">
        <v>4</v>
      </c>
      <c r="B816" s="12" t="s">
        <v>1</v>
      </c>
      <c r="C816" s="12">
        <v>400</v>
      </c>
      <c r="D816" s="3" t="s">
        <v>137</v>
      </c>
      <c r="E816" s="3">
        <v>22</v>
      </c>
    </row>
    <row r="817" spans="1:5" x14ac:dyDescent="0.15">
      <c r="A817" s="12" t="s">
        <v>4</v>
      </c>
      <c r="B817" s="12" t="s">
        <v>1</v>
      </c>
      <c r="C817" s="12">
        <v>400</v>
      </c>
      <c r="D817" s="3" t="s">
        <v>138</v>
      </c>
      <c r="E817" s="3">
        <v>24</v>
      </c>
    </row>
    <row r="818" spans="1:5" x14ac:dyDescent="0.15">
      <c r="A818" s="12" t="s">
        <v>4</v>
      </c>
      <c r="B818" s="12" t="s">
        <v>1</v>
      </c>
      <c r="C818" s="12">
        <v>400</v>
      </c>
      <c r="D818" s="3" t="s">
        <v>139</v>
      </c>
      <c r="E818" s="3">
        <v>25</v>
      </c>
    </row>
    <row r="819" spans="1:5" x14ac:dyDescent="0.15">
      <c r="A819" s="12" t="s">
        <v>4</v>
      </c>
      <c r="B819" s="12" t="s">
        <v>1</v>
      </c>
      <c r="C819" s="12">
        <v>400</v>
      </c>
      <c r="D819" s="3" t="s">
        <v>140</v>
      </c>
      <c r="E819" s="3">
        <v>28</v>
      </c>
    </row>
    <row r="820" spans="1:5" x14ac:dyDescent="0.15">
      <c r="A820" s="12" t="s">
        <v>4</v>
      </c>
      <c r="B820" s="12" t="s">
        <v>1</v>
      </c>
      <c r="C820" s="12">
        <v>400</v>
      </c>
      <c r="D820" s="3" t="s">
        <v>141</v>
      </c>
      <c r="E820" s="3">
        <v>30</v>
      </c>
    </row>
    <row r="821" spans="1:5" x14ac:dyDescent="0.15">
      <c r="A821" s="12" t="s">
        <v>4</v>
      </c>
      <c r="B821" s="12" t="s">
        <v>1</v>
      </c>
      <c r="C821" s="12">
        <v>400</v>
      </c>
      <c r="D821" s="3" t="s">
        <v>142</v>
      </c>
      <c r="E821" s="3">
        <v>32</v>
      </c>
    </row>
    <row r="822" spans="1:5" x14ac:dyDescent="0.15">
      <c r="A822" s="12" t="s">
        <v>4</v>
      </c>
      <c r="B822" s="12" t="s">
        <v>1</v>
      </c>
      <c r="C822" s="12">
        <v>400</v>
      </c>
      <c r="D822" s="3" t="s">
        <v>143</v>
      </c>
      <c r="E822" s="3">
        <v>34</v>
      </c>
    </row>
    <row r="823" spans="1:5" x14ac:dyDescent="0.15">
      <c r="A823" s="12" t="s">
        <v>4</v>
      </c>
      <c r="B823" s="12" t="s">
        <v>1</v>
      </c>
      <c r="C823" s="12">
        <v>400</v>
      </c>
      <c r="D823" s="3" t="s">
        <v>144</v>
      </c>
      <c r="E823" s="3">
        <v>36</v>
      </c>
    </row>
    <row r="824" spans="1:5" x14ac:dyDescent="0.15">
      <c r="A824" s="12" t="s">
        <v>4</v>
      </c>
      <c r="B824" s="12" t="s">
        <v>1</v>
      </c>
      <c r="C824" s="12">
        <v>400</v>
      </c>
      <c r="D824" s="3" t="s">
        <v>145</v>
      </c>
      <c r="E824" s="3">
        <v>38</v>
      </c>
    </row>
    <row r="825" spans="1:5" x14ac:dyDescent="0.15">
      <c r="A825" s="12" t="s">
        <v>4</v>
      </c>
      <c r="B825" s="12" t="s">
        <v>1</v>
      </c>
      <c r="C825" s="12">
        <v>400</v>
      </c>
      <c r="D825" s="3" t="s">
        <v>146</v>
      </c>
      <c r="E825" s="3">
        <v>40</v>
      </c>
    </row>
    <row r="826" spans="1:5" x14ac:dyDescent="0.15">
      <c r="A826" s="12" t="s">
        <v>4</v>
      </c>
      <c r="B826" s="12" t="s">
        <v>1</v>
      </c>
      <c r="C826" s="12">
        <v>450</v>
      </c>
      <c r="D826" s="3" t="s">
        <v>131</v>
      </c>
      <c r="E826" s="3">
        <v>9.5</v>
      </c>
    </row>
    <row r="827" spans="1:5" x14ac:dyDescent="0.15">
      <c r="A827" s="12" t="s">
        <v>4</v>
      </c>
      <c r="B827" s="12" t="s">
        <v>1</v>
      </c>
      <c r="C827" s="12">
        <v>450</v>
      </c>
      <c r="D827" s="3" t="s">
        <v>104</v>
      </c>
      <c r="E827" s="3">
        <v>10</v>
      </c>
    </row>
    <row r="828" spans="1:5" x14ac:dyDescent="0.15">
      <c r="A828" s="12" t="s">
        <v>4</v>
      </c>
      <c r="B828" s="12" t="s">
        <v>1</v>
      </c>
      <c r="C828" s="12">
        <v>450</v>
      </c>
      <c r="D828" s="3" t="s">
        <v>105</v>
      </c>
      <c r="E828" s="3">
        <v>11</v>
      </c>
    </row>
    <row r="829" spans="1:5" x14ac:dyDescent="0.15">
      <c r="A829" s="12" t="s">
        <v>4</v>
      </c>
      <c r="B829" s="12" t="s">
        <v>1</v>
      </c>
      <c r="C829" s="12">
        <v>450</v>
      </c>
      <c r="D829" s="3" t="s">
        <v>132</v>
      </c>
      <c r="E829" s="3">
        <v>12</v>
      </c>
    </row>
    <row r="830" spans="1:5" x14ac:dyDescent="0.15">
      <c r="A830" s="12" t="s">
        <v>4</v>
      </c>
      <c r="B830" s="12" t="s">
        <v>1</v>
      </c>
      <c r="C830" s="12">
        <v>450</v>
      </c>
      <c r="D830" s="3" t="s">
        <v>133</v>
      </c>
      <c r="E830" s="3">
        <v>13</v>
      </c>
    </row>
    <row r="831" spans="1:5" x14ac:dyDescent="0.15">
      <c r="A831" s="12" t="s">
        <v>4</v>
      </c>
      <c r="B831" s="12" t="s">
        <v>1</v>
      </c>
      <c r="C831" s="12">
        <v>450</v>
      </c>
      <c r="D831" s="3" t="s">
        <v>134</v>
      </c>
      <c r="E831" s="3">
        <v>14</v>
      </c>
    </row>
    <row r="832" spans="1:5" x14ac:dyDescent="0.15">
      <c r="A832" s="12" t="s">
        <v>4</v>
      </c>
      <c r="B832" s="12" t="s">
        <v>1</v>
      </c>
      <c r="C832" s="12">
        <v>450</v>
      </c>
      <c r="D832" s="3" t="s">
        <v>135</v>
      </c>
      <c r="E832" s="3">
        <v>15</v>
      </c>
    </row>
    <row r="833" spans="1:5" x14ac:dyDescent="0.15">
      <c r="A833" s="12" t="s">
        <v>4</v>
      </c>
      <c r="B833" s="12" t="s">
        <v>1</v>
      </c>
      <c r="C833" s="12">
        <v>450</v>
      </c>
      <c r="D833" s="3" t="s">
        <v>108</v>
      </c>
      <c r="E833" s="3">
        <v>16</v>
      </c>
    </row>
    <row r="834" spans="1:5" x14ac:dyDescent="0.15">
      <c r="A834" s="12" t="s">
        <v>4</v>
      </c>
      <c r="B834" s="12" t="s">
        <v>1</v>
      </c>
      <c r="C834" s="12">
        <v>450</v>
      </c>
      <c r="D834" s="3" t="s">
        <v>136</v>
      </c>
      <c r="E834" s="3">
        <v>18</v>
      </c>
    </row>
    <row r="835" spans="1:5" x14ac:dyDescent="0.15">
      <c r="A835" s="12" t="s">
        <v>4</v>
      </c>
      <c r="B835" s="12" t="s">
        <v>1</v>
      </c>
      <c r="C835" s="12">
        <v>450</v>
      </c>
      <c r="D835" s="3" t="s">
        <v>110</v>
      </c>
      <c r="E835" s="3">
        <v>20</v>
      </c>
    </row>
    <row r="836" spans="1:5" x14ac:dyDescent="0.15">
      <c r="A836" s="12" t="s">
        <v>4</v>
      </c>
      <c r="B836" s="12" t="s">
        <v>1</v>
      </c>
      <c r="C836" s="12">
        <v>450</v>
      </c>
      <c r="D836" s="3" t="s">
        <v>137</v>
      </c>
      <c r="E836" s="3">
        <v>22</v>
      </c>
    </row>
    <row r="837" spans="1:5" x14ac:dyDescent="0.15">
      <c r="A837" s="12" t="s">
        <v>4</v>
      </c>
      <c r="B837" s="12" t="s">
        <v>1</v>
      </c>
      <c r="C837" s="12">
        <v>450</v>
      </c>
      <c r="D837" s="3" t="s">
        <v>138</v>
      </c>
      <c r="E837" s="3">
        <v>24</v>
      </c>
    </row>
    <row r="838" spans="1:5" x14ac:dyDescent="0.15">
      <c r="A838" s="12" t="s">
        <v>4</v>
      </c>
      <c r="B838" s="12" t="s">
        <v>1</v>
      </c>
      <c r="C838" s="12">
        <v>450</v>
      </c>
      <c r="D838" s="3" t="s">
        <v>139</v>
      </c>
      <c r="E838" s="3">
        <v>25</v>
      </c>
    </row>
    <row r="839" spans="1:5" x14ac:dyDescent="0.15">
      <c r="A839" s="12" t="s">
        <v>4</v>
      </c>
      <c r="B839" s="12" t="s">
        <v>1</v>
      </c>
      <c r="C839" s="12">
        <v>450</v>
      </c>
      <c r="D839" s="3" t="s">
        <v>140</v>
      </c>
      <c r="E839" s="3">
        <v>28</v>
      </c>
    </row>
    <row r="840" spans="1:5" x14ac:dyDescent="0.15">
      <c r="A840" s="12" t="s">
        <v>4</v>
      </c>
      <c r="B840" s="12" t="s">
        <v>1</v>
      </c>
      <c r="C840" s="12">
        <v>450</v>
      </c>
      <c r="D840" s="3" t="s">
        <v>141</v>
      </c>
      <c r="E840" s="3">
        <v>30</v>
      </c>
    </row>
    <row r="841" spans="1:5" x14ac:dyDescent="0.15">
      <c r="A841" s="12" t="s">
        <v>4</v>
      </c>
      <c r="B841" s="12" t="s">
        <v>1</v>
      </c>
      <c r="C841" s="12">
        <v>450</v>
      </c>
      <c r="D841" s="3" t="s">
        <v>142</v>
      </c>
      <c r="E841" s="3">
        <v>32</v>
      </c>
    </row>
    <row r="842" spans="1:5" x14ac:dyDescent="0.15">
      <c r="A842" s="12" t="s">
        <v>4</v>
      </c>
      <c r="B842" s="12" t="s">
        <v>1</v>
      </c>
      <c r="C842" s="12">
        <v>450</v>
      </c>
      <c r="D842" s="3" t="s">
        <v>143</v>
      </c>
      <c r="E842" s="3">
        <v>34</v>
      </c>
    </row>
    <row r="843" spans="1:5" x14ac:dyDescent="0.15">
      <c r="A843" s="12" t="s">
        <v>4</v>
      </c>
      <c r="B843" s="12" t="s">
        <v>1</v>
      </c>
      <c r="C843" s="12">
        <v>450</v>
      </c>
      <c r="D843" s="3" t="s">
        <v>144</v>
      </c>
      <c r="E843" s="3">
        <v>36</v>
      </c>
    </row>
    <row r="844" spans="1:5" x14ac:dyDescent="0.15">
      <c r="A844" s="12" t="s">
        <v>4</v>
      </c>
      <c r="B844" s="12" t="s">
        <v>1</v>
      </c>
      <c r="C844" s="12">
        <v>450</v>
      </c>
      <c r="D844" s="3" t="s">
        <v>145</v>
      </c>
      <c r="E844" s="3">
        <v>38</v>
      </c>
    </row>
    <row r="845" spans="1:5" x14ac:dyDescent="0.15">
      <c r="A845" s="12" t="s">
        <v>4</v>
      </c>
      <c r="B845" s="12" t="s">
        <v>1</v>
      </c>
      <c r="C845" s="12">
        <v>450</v>
      </c>
      <c r="D845" s="3" t="s">
        <v>146</v>
      </c>
      <c r="E845" s="3">
        <v>40</v>
      </c>
    </row>
    <row r="846" spans="1:5" x14ac:dyDescent="0.15">
      <c r="A846" s="12" t="s">
        <v>4</v>
      </c>
      <c r="B846" s="12" t="s">
        <v>1</v>
      </c>
      <c r="C846" s="12">
        <v>450</v>
      </c>
      <c r="D846" s="3" t="s">
        <v>147</v>
      </c>
      <c r="E846" s="3">
        <v>42</v>
      </c>
    </row>
    <row r="847" spans="1:5" x14ac:dyDescent="0.15">
      <c r="A847" s="12" t="s">
        <v>4</v>
      </c>
      <c r="B847" s="12" t="s">
        <v>1</v>
      </c>
      <c r="C847" s="12">
        <v>450</v>
      </c>
      <c r="D847" s="3" t="s">
        <v>148</v>
      </c>
      <c r="E847" s="3">
        <v>45</v>
      </c>
    </row>
    <row r="848" spans="1:5" x14ac:dyDescent="0.15">
      <c r="A848" s="12" t="s">
        <v>4</v>
      </c>
      <c r="B848" s="12" t="s">
        <v>1</v>
      </c>
      <c r="C848" s="12">
        <v>500</v>
      </c>
      <c r="D848" s="3" t="s">
        <v>130</v>
      </c>
      <c r="E848" s="3">
        <v>9</v>
      </c>
    </row>
    <row r="849" spans="1:5" x14ac:dyDescent="0.15">
      <c r="A849" s="12" t="s">
        <v>4</v>
      </c>
      <c r="B849" s="12" t="s">
        <v>1</v>
      </c>
      <c r="C849" s="12">
        <v>500</v>
      </c>
      <c r="D849" s="3" t="s">
        <v>131</v>
      </c>
      <c r="E849" s="3">
        <v>9.5</v>
      </c>
    </row>
    <row r="850" spans="1:5" x14ac:dyDescent="0.15">
      <c r="A850" s="12" t="s">
        <v>4</v>
      </c>
      <c r="B850" s="12" t="s">
        <v>1</v>
      </c>
      <c r="C850" s="12">
        <v>500</v>
      </c>
      <c r="D850" s="3" t="s">
        <v>104</v>
      </c>
      <c r="E850" s="3">
        <v>10</v>
      </c>
    </row>
    <row r="851" spans="1:5" x14ac:dyDescent="0.15">
      <c r="A851" s="12" t="s">
        <v>4</v>
      </c>
      <c r="B851" s="12" t="s">
        <v>1</v>
      </c>
      <c r="C851" s="12">
        <v>500</v>
      </c>
      <c r="D851" s="3" t="s">
        <v>105</v>
      </c>
      <c r="E851" s="3">
        <v>11</v>
      </c>
    </row>
    <row r="852" spans="1:5" x14ac:dyDescent="0.15">
      <c r="A852" s="12" t="s">
        <v>4</v>
      </c>
      <c r="B852" s="12" t="s">
        <v>1</v>
      </c>
      <c r="C852" s="12">
        <v>500</v>
      </c>
      <c r="D852" s="3" t="s">
        <v>132</v>
      </c>
      <c r="E852" s="3">
        <v>12</v>
      </c>
    </row>
    <row r="853" spans="1:5" x14ac:dyDescent="0.15">
      <c r="A853" s="12" t="s">
        <v>4</v>
      </c>
      <c r="B853" s="12" t="s">
        <v>1</v>
      </c>
      <c r="C853" s="12">
        <v>500</v>
      </c>
      <c r="D853" s="3" t="s">
        <v>133</v>
      </c>
      <c r="E853" s="3">
        <v>13</v>
      </c>
    </row>
    <row r="854" spans="1:5" x14ac:dyDescent="0.15">
      <c r="A854" s="12" t="s">
        <v>4</v>
      </c>
      <c r="B854" s="12" t="s">
        <v>1</v>
      </c>
      <c r="C854" s="12">
        <v>500</v>
      </c>
      <c r="D854" s="3" t="s">
        <v>134</v>
      </c>
      <c r="E854" s="3">
        <v>14</v>
      </c>
    </row>
    <row r="855" spans="1:5" x14ac:dyDescent="0.15">
      <c r="A855" s="12" t="s">
        <v>4</v>
      </c>
      <c r="B855" s="12" t="s">
        <v>1</v>
      </c>
      <c r="C855" s="12">
        <v>500</v>
      </c>
      <c r="D855" s="3" t="s">
        <v>135</v>
      </c>
      <c r="E855" s="3">
        <v>15</v>
      </c>
    </row>
    <row r="856" spans="1:5" x14ac:dyDescent="0.15">
      <c r="A856" s="12" t="s">
        <v>4</v>
      </c>
      <c r="B856" s="12" t="s">
        <v>1</v>
      </c>
      <c r="C856" s="12">
        <v>500</v>
      </c>
      <c r="D856" s="3" t="s">
        <v>108</v>
      </c>
      <c r="E856" s="3">
        <v>16</v>
      </c>
    </row>
    <row r="857" spans="1:5" x14ac:dyDescent="0.15">
      <c r="A857" s="12" t="s">
        <v>4</v>
      </c>
      <c r="B857" s="12" t="s">
        <v>1</v>
      </c>
      <c r="C857" s="12">
        <v>500</v>
      </c>
      <c r="D857" s="3" t="s">
        <v>136</v>
      </c>
      <c r="E857" s="3">
        <v>18</v>
      </c>
    </row>
    <row r="858" spans="1:5" x14ac:dyDescent="0.15">
      <c r="A858" s="12" t="s">
        <v>4</v>
      </c>
      <c r="B858" s="12" t="s">
        <v>1</v>
      </c>
      <c r="C858" s="12">
        <v>500</v>
      </c>
      <c r="D858" s="3" t="s">
        <v>110</v>
      </c>
      <c r="E858" s="3">
        <v>20</v>
      </c>
    </row>
    <row r="859" spans="1:5" x14ac:dyDescent="0.15">
      <c r="A859" s="12" t="s">
        <v>4</v>
      </c>
      <c r="B859" s="12" t="s">
        <v>1</v>
      </c>
      <c r="C859" s="12">
        <v>500</v>
      </c>
      <c r="D859" s="3" t="s">
        <v>137</v>
      </c>
      <c r="E859" s="3">
        <v>22</v>
      </c>
    </row>
    <row r="860" spans="1:5" x14ac:dyDescent="0.15">
      <c r="A860" s="12" t="s">
        <v>4</v>
      </c>
      <c r="B860" s="12" t="s">
        <v>1</v>
      </c>
      <c r="C860" s="12">
        <v>500</v>
      </c>
      <c r="D860" s="3" t="s">
        <v>138</v>
      </c>
      <c r="E860" s="3">
        <v>24</v>
      </c>
    </row>
    <row r="861" spans="1:5" x14ac:dyDescent="0.15">
      <c r="A861" s="12" t="s">
        <v>4</v>
      </c>
      <c r="B861" s="12" t="s">
        <v>1</v>
      </c>
      <c r="C861" s="12">
        <v>500</v>
      </c>
      <c r="D861" s="3" t="s">
        <v>139</v>
      </c>
      <c r="E861" s="3">
        <v>25</v>
      </c>
    </row>
    <row r="862" spans="1:5" x14ac:dyDescent="0.15">
      <c r="A862" s="12" t="s">
        <v>4</v>
      </c>
      <c r="B862" s="12" t="s">
        <v>1</v>
      </c>
      <c r="C862" s="12">
        <v>500</v>
      </c>
      <c r="D862" s="3" t="s">
        <v>140</v>
      </c>
      <c r="E862" s="3">
        <v>28</v>
      </c>
    </row>
    <row r="863" spans="1:5" x14ac:dyDescent="0.15">
      <c r="A863" s="12" t="s">
        <v>4</v>
      </c>
      <c r="B863" s="12" t="s">
        <v>1</v>
      </c>
      <c r="C863" s="12">
        <v>500</v>
      </c>
      <c r="D863" s="3" t="s">
        <v>141</v>
      </c>
      <c r="E863" s="3">
        <v>30</v>
      </c>
    </row>
    <row r="864" spans="1:5" x14ac:dyDescent="0.15">
      <c r="A864" s="12" t="s">
        <v>4</v>
      </c>
      <c r="B864" s="12" t="s">
        <v>1</v>
      </c>
      <c r="C864" s="12">
        <v>500</v>
      </c>
      <c r="D864" s="3" t="s">
        <v>142</v>
      </c>
      <c r="E864" s="3">
        <v>32</v>
      </c>
    </row>
    <row r="865" spans="1:5" x14ac:dyDescent="0.15">
      <c r="A865" s="12" t="s">
        <v>4</v>
      </c>
      <c r="B865" s="12" t="s">
        <v>1</v>
      </c>
      <c r="C865" s="12">
        <v>500</v>
      </c>
      <c r="D865" s="3" t="s">
        <v>143</v>
      </c>
      <c r="E865" s="3">
        <v>34</v>
      </c>
    </row>
    <row r="866" spans="1:5" x14ac:dyDescent="0.15">
      <c r="A866" s="12" t="s">
        <v>4</v>
      </c>
      <c r="B866" s="12" t="s">
        <v>1</v>
      </c>
      <c r="C866" s="12">
        <v>500</v>
      </c>
      <c r="D866" s="3" t="s">
        <v>144</v>
      </c>
      <c r="E866" s="3">
        <v>36</v>
      </c>
    </row>
    <row r="867" spans="1:5" x14ac:dyDescent="0.15">
      <c r="A867" s="12" t="s">
        <v>4</v>
      </c>
      <c r="B867" s="12" t="s">
        <v>1</v>
      </c>
      <c r="C867" s="12">
        <v>500</v>
      </c>
      <c r="D867" s="3" t="s">
        <v>145</v>
      </c>
      <c r="E867" s="3">
        <v>38</v>
      </c>
    </row>
    <row r="868" spans="1:5" x14ac:dyDescent="0.15">
      <c r="A868" s="12" t="s">
        <v>4</v>
      </c>
      <c r="B868" s="12" t="s">
        <v>1</v>
      </c>
      <c r="C868" s="12">
        <v>500</v>
      </c>
      <c r="D868" s="3" t="s">
        <v>146</v>
      </c>
      <c r="E868" s="3">
        <v>40</v>
      </c>
    </row>
    <row r="869" spans="1:5" x14ac:dyDescent="0.15">
      <c r="A869" s="12" t="s">
        <v>4</v>
      </c>
      <c r="B869" s="12" t="s">
        <v>1</v>
      </c>
      <c r="C869" s="12">
        <v>500</v>
      </c>
      <c r="D869" s="3" t="s">
        <v>147</v>
      </c>
      <c r="E869" s="3">
        <v>42</v>
      </c>
    </row>
    <row r="870" spans="1:5" x14ac:dyDescent="0.15">
      <c r="A870" s="12" t="s">
        <v>4</v>
      </c>
      <c r="B870" s="12" t="s">
        <v>1</v>
      </c>
      <c r="C870" s="12">
        <v>500</v>
      </c>
      <c r="D870" s="3" t="s">
        <v>148</v>
      </c>
      <c r="E870" s="3">
        <v>45</v>
      </c>
    </row>
    <row r="871" spans="1:5" x14ac:dyDescent="0.15">
      <c r="A871" s="12" t="s">
        <v>4</v>
      </c>
      <c r="B871" s="12" t="s">
        <v>1</v>
      </c>
      <c r="C871" s="12">
        <v>500</v>
      </c>
      <c r="D871" s="3" t="s">
        <v>149</v>
      </c>
      <c r="E871" s="3">
        <v>48</v>
      </c>
    </row>
    <row r="872" spans="1:5" x14ac:dyDescent="0.15">
      <c r="A872" s="12" t="s">
        <v>4</v>
      </c>
      <c r="B872" s="12" t="s">
        <v>1</v>
      </c>
      <c r="C872" s="12">
        <v>500</v>
      </c>
      <c r="D872" s="3" t="s">
        <v>150</v>
      </c>
      <c r="E872" s="3">
        <v>50</v>
      </c>
    </row>
    <row r="873" spans="1:5" x14ac:dyDescent="0.15">
      <c r="A873" s="12" t="s">
        <v>4</v>
      </c>
      <c r="B873" s="12" t="s">
        <v>1</v>
      </c>
      <c r="C873" s="12">
        <v>550</v>
      </c>
      <c r="D873" s="3" t="s">
        <v>130</v>
      </c>
      <c r="E873" s="3">
        <v>9</v>
      </c>
    </row>
    <row r="874" spans="1:5" x14ac:dyDescent="0.15">
      <c r="A874" s="12" t="s">
        <v>4</v>
      </c>
      <c r="B874" s="12" t="s">
        <v>1</v>
      </c>
      <c r="C874" s="12">
        <v>550</v>
      </c>
      <c r="D874" s="3" t="s">
        <v>131</v>
      </c>
      <c r="E874" s="3">
        <v>9.5</v>
      </c>
    </row>
    <row r="875" spans="1:5" x14ac:dyDescent="0.15">
      <c r="A875" s="12" t="s">
        <v>4</v>
      </c>
      <c r="B875" s="12" t="s">
        <v>1</v>
      </c>
      <c r="C875" s="12">
        <v>550</v>
      </c>
      <c r="D875" s="3" t="s">
        <v>104</v>
      </c>
      <c r="E875" s="3">
        <v>10</v>
      </c>
    </row>
    <row r="876" spans="1:5" x14ac:dyDescent="0.15">
      <c r="A876" s="12" t="s">
        <v>4</v>
      </c>
      <c r="B876" s="12" t="s">
        <v>1</v>
      </c>
      <c r="C876" s="12">
        <v>550</v>
      </c>
      <c r="D876" s="3" t="s">
        <v>105</v>
      </c>
      <c r="E876" s="3">
        <v>11</v>
      </c>
    </row>
    <row r="877" spans="1:5" x14ac:dyDescent="0.15">
      <c r="A877" s="12" t="s">
        <v>4</v>
      </c>
      <c r="B877" s="12" t="s">
        <v>1</v>
      </c>
      <c r="C877" s="12">
        <v>550</v>
      </c>
      <c r="D877" s="3" t="s">
        <v>132</v>
      </c>
      <c r="E877" s="3">
        <v>12</v>
      </c>
    </row>
    <row r="878" spans="1:5" x14ac:dyDescent="0.15">
      <c r="A878" s="12" t="s">
        <v>4</v>
      </c>
      <c r="B878" s="12" t="s">
        <v>1</v>
      </c>
      <c r="C878" s="12">
        <v>550</v>
      </c>
      <c r="D878" s="3" t="s">
        <v>133</v>
      </c>
      <c r="E878" s="3">
        <v>13</v>
      </c>
    </row>
    <row r="879" spans="1:5" x14ac:dyDescent="0.15">
      <c r="A879" s="12" t="s">
        <v>4</v>
      </c>
      <c r="B879" s="12" t="s">
        <v>1</v>
      </c>
      <c r="C879" s="12">
        <v>550</v>
      </c>
      <c r="D879" s="3" t="s">
        <v>134</v>
      </c>
      <c r="E879" s="3">
        <v>14</v>
      </c>
    </row>
    <row r="880" spans="1:5" x14ac:dyDescent="0.15">
      <c r="A880" s="12" t="s">
        <v>4</v>
      </c>
      <c r="B880" s="12" t="s">
        <v>1</v>
      </c>
      <c r="C880" s="12">
        <v>550</v>
      </c>
      <c r="D880" s="3" t="s">
        <v>135</v>
      </c>
      <c r="E880" s="3">
        <v>15</v>
      </c>
    </row>
    <row r="881" spans="1:5" x14ac:dyDescent="0.15">
      <c r="A881" s="12" t="s">
        <v>4</v>
      </c>
      <c r="B881" s="12" t="s">
        <v>1</v>
      </c>
      <c r="C881" s="12">
        <v>550</v>
      </c>
      <c r="D881" s="3" t="s">
        <v>108</v>
      </c>
      <c r="E881" s="3">
        <v>16</v>
      </c>
    </row>
    <row r="882" spans="1:5" x14ac:dyDescent="0.15">
      <c r="A882" s="12" t="s">
        <v>4</v>
      </c>
      <c r="B882" s="12" t="s">
        <v>1</v>
      </c>
      <c r="C882" s="12">
        <v>550</v>
      </c>
      <c r="D882" s="3" t="s">
        <v>136</v>
      </c>
      <c r="E882" s="3">
        <v>18</v>
      </c>
    </row>
    <row r="883" spans="1:5" x14ac:dyDescent="0.15">
      <c r="A883" s="12" t="s">
        <v>4</v>
      </c>
      <c r="B883" s="12" t="s">
        <v>1</v>
      </c>
      <c r="C883" s="12">
        <v>550</v>
      </c>
      <c r="D883" s="3" t="s">
        <v>110</v>
      </c>
      <c r="E883" s="3">
        <v>20</v>
      </c>
    </row>
    <row r="884" spans="1:5" x14ac:dyDescent="0.15">
      <c r="A884" s="12" t="s">
        <v>4</v>
      </c>
      <c r="B884" s="12" t="s">
        <v>1</v>
      </c>
      <c r="C884" s="12">
        <v>550</v>
      </c>
      <c r="D884" s="3" t="s">
        <v>137</v>
      </c>
      <c r="E884" s="3">
        <v>22</v>
      </c>
    </row>
    <row r="885" spans="1:5" x14ac:dyDescent="0.15">
      <c r="A885" s="12" t="s">
        <v>4</v>
      </c>
      <c r="B885" s="12" t="s">
        <v>1</v>
      </c>
      <c r="C885" s="12">
        <v>550</v>
      </c>
      <c r="D885" s="3" t="s">
        <v>138</v>
      </c>
      <c r="E885" s="3">
        <v>24</v>
      </c>
    </row>
    <row r="886" spans="1:5" x14ac:dyDescent="0.15">
      <c r="A886" s="12" t="s">
        <v>4</v>
      </c>
      <c r="B886" s="12" t="s">
        <v>1</v>
      </c>
      <c r="C886" s="12">
        <v>550</v>
      </c>
      <c r="D886" s="3" t="s">
        <v>139</v>
      </c>
      <c r="E886" s="3">
        <v>25</v>
      </c>
    </row>
    <row r="887" spans="1:5" x14ac:dyDescent="0.15">
      <c r="A887" s="12" t="s">
        <v>4</v>
      </c>
      <c r="B887" s="12" t="s">
        <v>1</v>
      </c>
      <c r="C887" s="12">
        <v>550</v>
      </c>
      <c r="D887" s="3" t="s">
        <v>140</v>
      </c>
      <c r="E887" s="3">
        <v>28</v>
      </c>
    </row>
    <row r="888" spans="1:5" x14ac:dyDescent="0.15">
      <c r="A888" s="12" t="s">
        <v>4</v>
      </c>
      <c r="B888" s="12" t="s">
        <v>1</v>
      </c>
      <c r="C888" s="12">
        <v>550</v>
      </c>
      <c r="D888" s="3" t="s">
        <v>141</v>
      </c>
      <c r="E888" s="3">
        <v>30</v>
      </c>
    </row>
    <row r="889" spans="1:5" x14ac:dyDescent="0.15">
      <c r="A889" s="12" t="s">
        <v>4</v>
      </c>
      <c r="B889" s="12" t="s">
        <v>1</v>
      </c>
      <c r="C889" s="12">
        <v>550</v>
      </c>
      <c r="D889" s="3" t="s">
        <v>142</v>
      </c>
      <c r="E889" s="3">
        <v>32</v>
      </c>
    </row>
    <row r="890" spans="1:5" x14ac:dyDescent="0.15">
      <c r="A890" s="12" t="s">
        <v>4</v>
      </c>
      <c r="B890" s="12" t="s">
        <v>1</v>
      </c>
      <c r="C890" s="12">
        <v>550</v>
      </c>
      <c r="D890" s="3" t="s">
        <v>143</v>
      </c>
      <c r="E890" s="3">
        <v>34</v>
      </c>
    </row>
    <row r="891" spans="1:5" x14ac:dyDescent="0.15">
      <c r="A891" s="12" t="s">
        <v>4</v>
      </c>
      <c r="B891" s="12" t="s">
        <v>1</v>
      </c>
      <c r="C891" s="12">
        <v>550</v>
      </c>
      <c r="D891" s="3" t="s">
        <v>144</v>
      </c>
      <c r="E891" s="3">
        <v>36</v>
      </c>
    </row>
    <row r="892" spans="1:5" x14ac:dyDescent="0.15">
      <c r="A892" s="12" t="s">
        <v>4</v>
      </c>
      <c r="B892" s="12" t="s">
        <v>1</v>
      </c>
      <c r="C892" s="12">
        <v>550</v>
      </c>
      <c r="D892" s="3" t="s">
        <v>145</v>
      </c>
      <c r="E892" s="3">
        <v>38</v>
      </c>
    </row>
    <row r="893" spans="1:5" x14ac:dyDescent="0.15">
      <c r="A893" s="12" t="s">
        <v>4</v>
      </c>
      <c r="B893" s="12" t="s">
        <v>1</v>
      </c>
      <c r="C893" s="12">
        <v>550</v>
      </c>
      <c r="D893" s="3" t="s">
        <v>146</v>
      </c>
      <c r="E893" s="3">
        <v>40</v>
      </c>
    </row>
    <row r="894" spans="1:5" x14ac:dyDescent="0.15">
      <c r="A894" s="12" t="s">
        <v>4</v>
      </c>
      <c r="B894" s="12" t="s">
        <v>1</v>
      </c>
      <c r="C894" s="12">
        <v>550</v>
      </c>
      <c r="D894" s="3" t="s">
        <v>147</v>
      </c>
      <c r="E894" s="3">
        <v>42</v>
      </c>
    </row>
    <row r="895" spans="1:5" x14ac:dyDescent="0.15">
      <c r="A895" s="12" t="s">
        <v>4</v>
      </c>
      <c r="B895" s="12" t="s">
        <v>1</v>
      </c>
      <c r="C895" s="12">
        <v>550</v>
      </c>
      <c r="D895" s="3" t="s">
        <v>148</v>
      </c>
      <c r="E895" s="3">
        <v>45</v>
      </c>
    </row>
    <row r="896" spans="1:5" x14ac:dyDescent="0.15">
      <c r="A896" s="12" t="s">
        <v>4</v>
      </c>
      <c r="B896" s="12" t="s">
        <v>1</v>
      </c>
      <c r="C896" s="12">
        <v>550</v>
      </c>
      <c r="D896" s="3" t="s">
        <v>149</v>
      </c>
      <c r="E896" s="3">
        <v>48</v>
      </c>
    </row>
    <row r="897" spans="1:5" x14ac:dyDescent="0.15">
      <c r="A897" s="12" t="s">
        <v>4</v>
      </c>
      <c r="B897" s="12" t="s">
        <v>1</v>
      </c>
      <c r="C897" s="12">
        <v>550</v>
      </c>
      <c r="D897" s="3" t="s">
        <v>150</v>
      </c>
      <c r="E897" s="3">
        <v>50</v>
      </c>
    </row>
    <row r="898" spans="1:5" x14ac:dyDescent="0.15">
      <c r="A898" s="12" t="s">
        <v>4</v>
      </c>
      <c r="B898" s="12" t="s">
        <v>1</v>
      </c>
      <c r="C898" s="12">
        <v>550</v>
      </c>
      <c r="D898" s="3" t="s">
        <v>151</v>
      </c>
      <c r="E898" s="3">
        <v>55</v>
      </c>
    </row>
    <row r="899" spans="1:5" x14ac:dyDescent="0.15">
      <c r="A899" s="12" t="s">
        <v>4</v>
      </c>
      <c r="B899" s="12" t="s">
        <v>1</v>
      </c>
      <c r="C899" s="12">
        <v>600</v>
      </c>
      <c r="D899" s="3" t="s">
        <v>130</v>
      </c>
      <c r="E899" s="3">
        <v>9</v>
      </c>
    </row>
    <row r="900" spans="1:5" x14ac:dyDescent="0.15">
      <c r="A900" s="12" t="s">
        <v>4</v>
      </c>
      <c r="B900" s="12" t="s">
        <v>1</v>
      </c>
      <c r="C900" s="12">
        <v>600</v>
      </c>
      <c r="D900" s="3" t="s">
        <v>131</v>
      </c>
      <c r="E900" s="3">
        <v>9.5</v>
      </c>
    </row>
    <row r="901" spans="1:5" x14ac:dyDescent="0.15">
      <c r="A901" s="12" t="s">
        <v>4</v>
      </c>
      <c r="B901" s="12" t="s">
        <v>1</v>
      </c>
      <c r="C901" s="12">
        <v>600</v>
      </c>
      <c r="D901" s="3" t="s">
        <v>104</v>
      </c>
      <c r="E901" s="3">
        <v>10</v>
      </c>
    </row>
    <row r="902" spans="1:5" x14ac:dyDescent="0.15">
      <c r="A902" s="12" t="s">
        <v>4</v>
      </c>
      <c r="B902" s="12" t="s">
        <v>1</v>
      </c>
      <c r="C902" s="12">
        <v>600</v>
      </c>
      <c r="D902" s="3" t="s">
        <v>105</v>
      </c>
      <c r="E902" s="3">
        <v>11</v>
      </c>
    </row>
    <row r="903" spans="1:5" x14ac:dyDescent="0.15">
      <c r="A903" s="12" t="s">
        <v>4</v>
      </c>
      <c r="B903" s="12" t="s">
        <v>1</v>
      </c>
      <c r="C903" s="12">
        <v>600</v>
      </c>
      <c r="D903" s="3" t="s">
        <v>132</v>
      </c>
      <c r="E903" s="3">
        <v>12</v>
      </c>
    </row>
    <row r="904" spans="1:5" x14ac:dyDescent="0.15">
      <c r="A904" s="12" t="s">
        <v>4</v>
      </c>
      <c r="B904" s="12" t="s">
        <v>1</v>
      </c>
      <c r="C904" s="12">
        <v>600</v>
      </c>
      <c r="D904" s="3" t="s">
        <v>133</v>
      </c>
      <c r="E904" s="3">
        <v>13</v>
      </c>
    </row>
    <row r="905" spans="1:5" x14ac:dyDescent="0.15">
      <c r="A905" s="12" t="s">
        <v>4</v>
      </c>
      <c r="B905" s="12" t="s">
        <v>1</v>
      </c>
      <c r="C905" s="12">
        <v>600</v>
      </c>
      <c r="D905" s="3" t="s">
        <v>134</v>
      </c>
      <c r="E905" s="3">
        <v>14</v>
      </c>
    </row>
    <row r="906" spans="1:5" x14ac:dyDescent="0.15">
      <c r="A906" s="12" t="s">
        <v>4</v>
      </c>
      <c r="B906" s="12" t="s">
        <v>1</v>
      </c>
      <c r="C906" s="12">
        <v>600</v>
      </c>
      <c r="D906" s="3" t="s">
        <v>135</v>
      </c>
      <c r="E906" s="3">
        <v>15</v>
      </c>
    </row>
    <row r="907" spans="1:5" x14ac:dyDescent="0.15">
      <c r="A907" s="12" t="s">
        <v>4</v>
      </c>
      <c r="B907" s="12" t="s">
        <v>1</v>
      </c>
      <c r="C907" s="12">
        <v>600</v>
      </c>
      <c r="D907" s="3" t="s">
        <v>108</v>
      </c>
      <c r="E907" s="3">
        <v>16</v>
      </c>
    </row>
    <row r="908" spans="1:5" x14ac:dyDescent="0.15">
      <c r="A908" s="12" t="s">
        <v>4</v>
      </c>
      <c r="B908" s="12" t="s">
        <v>1</v>
      </c>
      <c r="C908" s="12">
        <v>600</v>
      </c>
      <c r="D908" s="3" t="s">
        <v>136</v>
      </c>
      <c r="E908" s="3">
        <v>18</v>
      </c>
    </row>
    <row r="909" spans="1:5" x14ac:dyDescent="0.15">
      <c r="A909" s="12" t="s">
        <v>4</v>
      </c>
      <c r="B909" s="12" t="s">
        <v>1</v>
      </c>
      <c r="C909" s="12">
        <v>600</v>
      </c>
      <c r="D909" s="3" t="s">
        <v>110</v>
      </c>
      <c r="E909" s="3">
        <v>20</v>
      </c>
    </row>
    <row r="910" spans="1:5" x14ac:dyDescent="0.15">
      <c r="A910" s="12" t="s">
        <v>4</v>
      </c>
      <c r="B910" s="12" t="s">
        <v>1</v>
      </c>
      <c r="C910" s="12">
        <v>600</v>
      </c>
      <c r="D910" s="3" t="s">
        <v>137</v>
      </c>
      <c r="E910" s="3">
        <v>22</v>
      </c>
    </row>
    <row r="911" spans="1:5" x14ac:dyDescent="0.15">
      <c r="A911" s="12" t="s">
        <v>4</v>
      </c>
      <c r="B911" s="12" t="s">
        <v>1</v>
      </c>
      <c r="C911" s="12">
        <v>600</v>
      </c>
      <c r="D911" s="3" t="s">
        <v>138</v>
      </c>
      <c r="E911" s="3">
        <v>24</v>
      </c>
    </row>
    <row r="912" spans="1:5" x14ac:dyDescent="0.15">
      <c r="A912" s="12" t="s">
        <v>4</v>
      </c>
      <c r="B912" s="12" t="s">
        <v>1</v>
      </c>
      <c r="C912" s="12">
        <v>600</v>
      </c>
      <c r="D912" s="3" t="s">
        <v>139</v>
      </c>
      <c r="E912" s="3">
        <v>25</v>
      </c>
    </row>
    <row r="913" spans="1:5" x14ac:dyDescent="0.15">
      <c r="A913" s="12" t="s">
        <v>4</v>
      </c>
      <c r="B913" s="12" t="s">
        <v>1</v>
      </c>
      <c r="C913" s="12">
        <v>600</v>
      </c>
      <c r="D913" s="3" t="s">
        <v>140</v>
      </c>
      <c r="E913" s="3">
        <v>28</v>
      </c>
    </row>
    <row r="914" spans="1:5" x14ac:dyDescent="0.15">
      <c r="A914" s="12" t="s">
        <v>4</v>
      </c>
      <c r="B914" s="12" t="s">
        <v>1</v>
      </c>
      <c r="C914" s="12">
        <v>600</v>
      </c>
      <c r="D914" s="3" t="s">
        <v>141</v>
      </c>
      <c r="E914" s="3">
        <v>30</v>
      </c>
    </row>
    <row r="915" spans="1:5" x14ac:dyDescent="0.15">
      <c r="A915" s="12" t="s">
        <v>4</v>
      </c>
      <c r="B915" s="12" t="s">
        <v>1</v>
      </c>
      <c r="C915" s="12">
        <v>600</v>
      </c>
      <c r="D915" s="3" t="s">
        <v>142</v>
      </c>
      <c r="E915" s="3">
        <v>32</v>
      </c>
    </row>
    <row r="916" spans="1:5" x14ac:dyDescent="0.15">
      <c r="A916" s="12" t="s">
        <v>4</v>
      </c>
      <c r="B916" s="12" t="s">
        <v>1</v>
      </c>
      <c r="C916" s="12">
        <v>600</v>
      </c>
      <c r="D916" s="3" t="s">
        <v>143</v>
      </c>
      <c r="E916" s="3">
        <v>34</v>
      </c>
    </row>
    <row r="917" spans="1:5" x14ac:dyDescent="0.15">
      <c r="A917" s="12" t="s">
        <v>4</v>
      </c>
      <c r="B917" s="12" t="s">
        <v>1</v>
      </c>
      <c r="C917" s="12">
        <v>600</v>
      </c>
      <c r="D917" s="3" t="s">
        <v>144</v>
      </c>
      <c r="E917" s="3">
        <v>36</v>
      </c>
    </row>
    <row r="918" spans="1:5" x14ac:dyDescent="0.15">
      <c r="A918" s="12" t="s">
        <v>4</v>
      </c>
      <c r="B918" s="12" t="s">
        <v>1</v>
      </c>
      <c r="C918" s="12">
        <v>600</v>
      </c>
      <c r="D918" s="3" t="s">
        <v>145</v>
      </c>
      <c r="E918" s="3">
        <v>38</v>
      </c>
    </row>
    <row r="919" spans="1:5" x14ac:dyDescent="0.15">
      <c r="A919" s="12" t="s">
        <v>4</v>
      </c>
      <c r="B919" s="12" t="s">
        <v>1</v>
      </c>
      <c r="C919" s="12">
        <v>600</v>
      </c>
      <c r="D919" s="3" t="s">
        <v>146</v>
      </c>
      <c r="E919" s="3">
        <v>40</v>
      </c>
    </row>
    <row r="920" spans="1:5" x14ac:dyDescent="0.15">
      <c r="A920" s="12" t="s">
        <v>4</v>
      </c>
      <c r="B920" s="12" t="s">
        <v>1</v>
      </c>
      <c r="C920" s="12">
        <v>600</v>
      </c>
      <c r="D920" s="3" t="s">
        <v>147</v>
      </c>
      <c r="E920" s="3">
        <v>42</v>
      </c>
    </row>
    <row r="921" spans="1:5" x14ac:dyDescent="0.15">
      <c r="A921" s="12" t="s">
        <v>4</v>
      </c>
      <c r="B921" s="12" t="s">
        <v>1</v>
      </c>
      <c r="C921" s="12">
        <v>600</v>
      </c>
      <c r="D921" s="3" t="s">
        <v>148</v>
      </c>
      <c r="E921" s="3">
        <v>45</v>
      </c>
    </row>
    <row r="922" spans="1:5" x14ac:dyDescent="0.15">
      <c r="A922" s="12" t="s">
        <v>4</v>
      </c>
      <c r="B922" s="12" t="s">
        <v>1</v>
      </c>
      <c r="C922" s="12">
        <v>600</v>
      </c>
      <c r="D922" s="3" t="s">
        <v>149</v>
      </c>
      <c r="E922" s="3">
        <v>48</v>
      </c>
    </row>
    <row r="923" spans="1:5" x14ac:dyDescent="0.15">
      <c r="A923" s="12" t="s">
        <v>4</v>
      </c>
      <c r="B923" s="12" t="s">
        <v>1</v>
      </c>
      <c r="C923" s="12">
        <v>600</v>
      </c>
      <c r="D923" s="3" t="s">
        <v>150</v>
      </c>
      <c r="E923" s="3">
        <v>50</v>
      </c>
    </row>
    <row r="924" spans="1:5" x14ac:dyDescent="0.15">
      <c r="A924" s="12" t="s">
        <v>4</v>
      </c>
      <c r="B924" s="12" t="s">
        <v>1</v>
      </c>
      <c r="C924" s="12">
        <v>600</v>
      </c>
      <c r="D924" s="3" t="s">
        <v>151</v>
      </c>
      <c r="E924" s="3">
        <v>55</v>
      </c>
    </row>
    <row r="925" spans="1:5" x14ac:dyDescent="0.15">
      <c r="A925" s="12" t="s">
        <v>4</v>
      </c>
      <c r="B925" s="12" t="s">
        <v>1</v>
      </c>
      <c r="C925" s="12">
        <v>600</v>
      </c>
      <c r="D925" s="3" t="s">
        <v>152</v>
      </c>
      <c r="E925" s="3">
        <v>60</v>
      </c>
    </row>
    <row r="926" spans="1:5" x14ac:dyDescent="0.15">
      <c r="A926" s="2" t="s">
        <v>4</v>
      </c>
      <c r="B926" s="2" t="s">
        <v>2</v>
      </c>
      <c r="C926" s="2">
        <v>10</v>
      </c>
      <c r="D926" s="3" t="s">
        <v>114</v>
      </c>
      <c r="E926" s="3">
        <v>2</v>
      </c>
    </row>
    <row r="927" spans="1:5" x14ac:dyDescent="0.15">
      <c r="A927" s="2" t="s">
        <v>4</v>
      </c>
      <c r="B927" s="2" t="s">
        <v>2</v>
      </c>
      <c r="C927" s="2">
        <v>10</v>
      </c>
      <c r="D927" s="3" t="s">
        <v>116</v>
      </c>
      <c r="E927" s="3">
        <v>2.5</v>
      </c>
    </row>
    <row r="928" spans="1:5" x14ac:dyDescent="0.15">
      <c r="A928" s="2" t="s">
        <v>4</v>
      </c>
      <c r="B928" s="2" t="s">
        <v>2</v>
      </c>
      <c r="C928" s="2">
        <v>10</v>
      </c>
      <c r="D928" s="3" t="s">
        <v>118</v>
      </c>
      <c r="E928" s="3">
        <v>3</v>
      </c>
    </row>
    <row r="929" spans="1:5" x14ac:dyDescent="0.15">
      <c r="A929" s="2" t="s">
        <v>4</v>
      </c>
      <c r="B929" s="2" t="s">
        <v>2</v>
      </c>
      <c r="C929" s="2">
        <v>10</v>
      </c>
      <c r="D929" s="3" t="s">
        <v>120</v>
      </c>
      <c r="E929" s="3">
        <v>3.5</v>
      </c>
    </row>
    <row r="930" spans="1:5" x14ac:dyDescent="0.15">
      <c r="A930" s="2" t="s">
        <v>4</v>
      </c>
      <c r="B930" s="2" t="s">
        <v>2</v>
      </c>
      <c r="C930" s="2">
        <v>10</v>
      </c>
      <c r="D930" s="3" t="s">
        <v>121</v>
      </c>
      <c r="E930" s="3">
        <v>4</v>
      </c>
    </row>
    <row r="931" spans="1:5" x14ac:dyDescent="0.15">
      <c r="A931" s="2" t="s">
        <v>4</v>
      </c>
      <c r="B931" s="2" t="s">
        <v>3</v>
      </c>
      <c r="C931" s="2">
        <v>15</v>
      </c>
      <c r="D931" s="3" t="s">
        <v>114</v>
      </c>
      <c r="E931" s="3">
        <v>2</v>
      </c>
    </row>
    <row r="932" spans="1:5" x14ac:dyDescent="0.15">
      <c r="A932" s="2" t="s">
        <v>4</v>
      </c>
      <c r="B932" s="2" t="s">
        <v>2</v>
      </c>
      <c r="C932" s="2">
        <v>15</v>
      </c>
      <c r="D932" s="3" t="s">
        <v>116</v>
      </c>
      <c r="E932" s="3">
        <v>2.5</v>
      </c>
    </row>
    <row r="933" spans="1:5" x14ac:dyDescent="0.15">
      <c r="A933" s="2" t="s">
        <v>4</v>
      </c>
      <c r="B933" s="2" t="s">
        <v>2</v>
      </c>
      <c r="C933" s="2">
        <v>15</v>
      </c>
      <c r="D933" s="3" t="s">
        <v>118</v>
      </c>
      <c r="E933" s="3">
        <v>3</v>
      </c>
    </row>
    <row r="934" spans="1:5" x14ac:dyDescent="0.15">
      <c r="A934" s="2" t="s">
        <v>4</v>
      </c>
      <c r="B934" s="2" t="s">
        <v>2</v>
      </c>
      <c r="C934" s="2">
        <v>15</v>
      </c>
      <c r="D934" s="3" t="s">
        <v>120</v>
      </c>
      <c r="E934" s="3">
        <v>3.5</v>
      </c>
    </row>
    <row r="935" spans="1:5" x14ac:dyDescent="0.15">
      <c r="A935" s="2" t="s">
        <v>4</v>
      </c>
      <c r="B935" s="2" t="s">
        <v>2</v>
      </c>
      <c r="C935" s="2">
        <v>15</v>
      </c>
      <c r="D935" s="3" t="s">
        <v>121</v>
      </c>
      <c r="E935" s="3">
        <v>4</v>
      </c>
    </row>
    <row r="936" spans="1:5" x14ac:dyDescent="0.15">
      <c r="A936" s="2" t="s">
        <v>4</v>
      </c>
      <c r="B936" s="2" t="s">
        <v>2</v>
      </c>
      <c r="C936" s="2">
        <v>15</v>
      </c>
      <c r="D936" s="3" t="s">
        <v>122</v>
      </c>
      <c r="E936" s="3">
        <v>4.5</v>
      </c>
    </row>
    <row r="937" spans="1:5" x14ac:dyDescent="0.15">
      <c r="A937" s="13" t="s">
        <v>4</v>
      </c>
      <c r="B937" s="13" t="s">
        <v>2</v>
      </c>
      <c r="C937" s="13">
        <v>15</v>
      </c>
      <c r="D937" s="16" t="s">
        <v>123</v>
      </c>
      <c r="E937" s="16">
        <v>5</v>
      </c>
    </row>
    <row r="938" spans="1:5" x14ac:dyDescent="0.15">
      <c r="A938" s="7" t="s">
        <v>4</v>
      </c>
      <c r="B938" s="7" t="s">
        <v>2</v>
      </c>
      <c r="C938" s="7">
        <v>16</v>
      </c>
      <c r="D938" s="15" t="s">
        <v>114</v>
      </c>
      <c r="E938" s="15">
        <v>2</v>
      </c>
    </row>
    <row r="939" spans="1:5" x14ac:dyDescent="0.15">
      <c r="A939" s="7" t="s">
        <v>4</v>
      </c>
      <c r="B939" s="7" t="s">
        <v>2</v>
      </c>
      <c r="C939" s="7">
        <v>16</v>
      </c>
      <c r="D939" s="15" t="s">
        <v>116</v>
      </c>
      <c r="E939" s="15">
        <v>2.5</v>
      </c>
    </row>
    <row r="940" spans="1:5" x14ac:dyDescent="0.15">
      <c r="A940" s="7" t="s">
        <v>4</v>
      </c>
      <c r="B940" s="7" t="s">
        <v>2</v>
      </c>
      <c r="C940" s="7">
        <v>16</v>
      </c>
      <c r="D940" s="15" t="s">
        <v>118</v>
      </c>
      <c r="E940" s="15">
        <v>3</v>
      </c>
    </row>
    <row r="941" spans="1:5" x14ac:dyDescent="0.15">
      <c r="A941" s="7" t="s">
        <v>4</v>
      </c>
      <c r="B941" s="7" t="s">
        <v>2</v>
      </c>
      <c r="C941" s="7">
        <v>16</v>
      </c>
      <c r="D941" s="15" t="s">
        <v>120</v>
      </c>
      <c r="E941" s="15">
        <v>3.5</v>
      </c>
    </row>
    <row r="942" spans="1:5" x14ac:dyDescent="0.15">
      <c r="A942" s="7" t="s">
        <v>4</v>
      </c>
      <c r="B942" s="7" t="s">
        <v>2</v>
      </c>
      <c r="C942" s="7">
        <v>16</v>
      </c>
      <c r="D942" s="15" t="s">
        <v>121</v>
      </c>
      <c r="E942" s="15">
        <v>4</v>
      </c>
    </row>
    <row r="943" spans="1:5" x14ac:dyDescent="0.15">
      <c r="A943" s="7" t="s">
        <v>4</v>
      </c>
      <c r="B943" s="7" t="s">
        <v>2</v>
      </c>
      <c r="C943" s="7">
        <v>16</v>
      </c>
      <c r="D943" s="15" t="s">
        <v>122</v>
      </c>
      <c r="E943" s="15">
        <v>4.5</v>
      </c>
    </row>
    <row r="944" spans="1:5" x14ac:dyDescent="0.15">
      <c r="A944" s="7" t="s">
        <v>4</v>
      </c>
      <c r="B944" s="7" t="s">
        <v>2</v>
      </c>
      <c r="C944" s="7">
        <v>16</v>
      </c>
      <c r="D944" s="15" t="s">
        <v>123</v>
      </c>
      <c r="E944" s="15">
        <v>5</v>
      </c>
    </row>
    <row r="945" spans="1:5" x14ac:dyDescent="0.15">
      <c r="A945" s="2" t="s">
        <v>4</v>
      </c>
      <c r="B945" s="2" t="s">
        <v>2</v>
      </c>
      <c r="C945" s="2">
        <v>20</v>
      </c>
      <c r="D945" s="3" t="s">
        <v>114</v>
      </c>
      <c r="E945" s="3">
        <v>2</v>
      </c>
    </row>
    <row r="946" spans="1:5" x14ac:dyDescent="0.15">
      <c r="A946" s="2" t="s">
        <v>4</v>
      </c>
      <c r="B946" s="2" t="s">
        <v>2</v>
      </c>
      <c r="C946" s="2">
        <v>20</v>
      </c>
      <c r="D946" s="3" t="s">
        <v>116</v>
      </c>
      <c r="E946" s="3">
        <v>2.5</v>
      </c>
    </row>
    <row r="947" spans="1:5" x14ac:dyDescent="0.15">
      <c r="A947" s="2" t="s">
        <v>4</v>
      </c>
      <c r="B947" s="2" t="s">
        <v>2</v>
      </c>
      <c r="C947" s="2">
        <v>20</v>
      </c>
      <c r="D947" s="3" t="s">
        <v>118</v>
      </c>
      <c r="E947" s="3">
        <v>3</v>
      </c>
    </row>
    <row r="948" spans="1:5" x14ac:dyDescent="0.15">
      <c r="A948" s="2" t="s">
        <v>4</v>
      </c>
      <c r="B948" s="2" t="s">
        <v>2</v>
      </c>
      <c r="C948" s="2">
        <v>20</v>
      </c>
      <c r="D948" s="3" t="s">
        <v>120</v>
      </c>
      <c r="E948" s="3">
        <v>3.5</v>
      </c>
    </row>
    <row r="949" spans="1:5" x14ac:dyDescent="0.15">
      <c r="A949" s="2" t="s">
        <v>4</v>
      </c>
      <c r="B949" s="2" t="s">
        <v>2</v>
      </c>
      <c r="C949" s="2">
        <v>20</v>
      </c>
      <c r="D949" s="3" t="s">
        <v>121</v>
      </c>
      <c r="E949" s="3">
        <v>4</v>
      </c>
    </row>
    <row r="950" spans="1:5" x14ac:dyDescent="0.15">
      <c r="A950" s="2" t="s">
        <v>4</v>
      </c>
      <c r="B950" s="2" t="s">
        <v>2</v>
      </c>
      <c r="C950" s="2">
        <v>20</v>
      </c>
      <c r="D950" s="3" t="s">
        <v>122</v>
      </c>
      <c r="E950" s="3">
        <v>4.5</v>
      </c>
    </row>
    <row r="951" spans="1:5" x14ac:dyDescent="0.15">
      <c r="A951" s="2" t="s">
        <v>4</v>
      </c>
      <c r="B951" s="2" t="s">
        <v>2</v>
      </c>
      <c r="C951" s="2">
        <v>20</v>
      </c>
      <c r="D951" s="3" t="s">
        <v>123</v>
      </c>
      <c r="E951" s="3">
        <v>5</v>
      </c>
    </row>
    <row r="952" spans="1:5" x14ac:dyDescent="0.15">
      <c r="A952" s="2" t="s">
        <v>4</v>
      </c>
      <c r="B952" s="2" t="s">
        <v>2</v>
      </c>
      <c r="C952" s="2">
        <v>20</v>
      </c>
      <c r="D952" s="3" t="s">
        <v>124</v>
      </c>
      <c r="E952" s="3">
        <v>5.5</v>
      </c>
    </row>
    <row r="953" spans="1:5" x14ac:dyDescent="0.15">
      <c r="A953" s="2" t="s">
        <v>4</v>
      </c>
      <c r="B953" s="2" t="s">
        <v>2</v>
      </c>
      <c r="C953" s="2">
        <v>20</v>
      </c>
      <c r="D953" s="3" t="s">
        <v>125</v>
      </c>
      <c r="E953" s="3">
        <v>6</v>
      </c>
    </row>
    <row r="954" spans="1:5" x14ac:dyDescent="0.15">
      <c r="A954" s="2" t="s">
        <v>4</v>
      </c>
      <c r="B954" s="2" t="s">
        <v>2</v>
      </c>
      <c r="C954" s="2">
        <v>20</v>
      </c>
      <c r="D954" s="3" t="s">
        <v>126</v>
      </c>
      <c r="E954" s="3">
        <v>6.5</v>
      </c>
    </row>
    <row r="955" spans="1:5" x14ac:dyDescent="0.15">
      <c r="A955" s="2" t="s">
        <v>4</v>
      </c>
      <c r="B955" s="2" t="s">
        <v>3</v>
      </c>
      <c r="C955" s="2">
        <v>25</v>
      </c>
      <c r="D955" s="3" t="s">
        <v>114</v>
      </c>
      <c r="E955" s="3">
        <v>2</v>
      </c>
    </row>
    <row r="956" spans="1:5" x14ac:dyDescent="0.15">
      <c r="A956" s="2" t="s">
        <v>4</v>
      </c>
      <c r="B956" s="2" t="s">
        <v>2</v>
      </c>
      <c r="C956" s="2">
        <v>25</v>
      </c>
      <c r="D956" s="3" t="s">
        <v>116</v>
      </c>
      <c r="E956" s="3">
        <v>2.5</v>
      </c>
    </row>
    <row r="957" spans="1:5" x14ac:dyDescent="0.15">
      <c r="A957" s="2" t="s">
        <v>4</v>
      </c>
      <c r="B957" s="2" t="s">
        <v>2</v>
      </c>
      <c r="C957" s="2">
        <v>25</v>
      </c>
      <c r="D957" s="3" t="s">
        <v>118</v>
      </c>
      <c r="E957" s="3">
        <v>3</v>
      </c>
    </row>
    <row r="958" spans="1:5" x14ac:dyDescent="0.15">
      <c r="A958" s="2" t="s">
        <v>4</v>
      </c>
      <c r="B958" s="2" t="s">
        <v>2</v>
      </c>
      <c r="C958" s="2">
        <v>25</v>
      </c>
      <c r="D958" s="3" t="s">
        <v>120</v>
      </c>
      <c r="E958" s="3">
        <v>3.5</v>
      </c>
    </row>
    <row r="959" spans="1:5" x14ac:dyDescent="0.15">
      <c r="A959" s="2" t="s">
        <v>4</v>
      </c>
      <c r="B959" s="2" t="s">
        <v>2</v>
      </c>
      <c r="C959" s="2">
        <v>25</v>
      </c>
      <c r="D959" s="3" t="s">
        <v>121</v>
      </c>
      <c r="E959" s="3">
        <v>4</v>
      </c>
    </row>
    <row r="960" spans="1:5" x14ac:dyDescent="0.15">
      <c r="A960" s="2" t="s">
        <v>4</v>
      </c>
      <c r="B960" s="2" t="s">
        <v>2</v>
      </c>
      <c r="C960" s="2">
        <v>25</v>
      </c>
      <c r="D960" s="3" t="s">
        <v>122</v>
      </c>
      <c r="E960" s="3">
        <v>4.5</v>
      </c>
    </row>
    <row r="961" spans="1:5" x14ac:dyDescent="0.15">
      <c r="A961" s="2" t="s">
        <v>4</v>
      </c>
      <c r="B961" s="2" t="s">
        <v>2</v>
      </c>
      <c r="C961" s="2">
        <v>25</v>
      </c>
      <c r="D961" s="3" t="s">
        <v>123</v>
      </c>
      <c r="E961" s="3">
        <v>5</v>
      </c>
    </row>
    <row r="962" spans="1:5" x14ac:dyDescent="0.15">
      <c r="A962" s="2" t="s">
        <v>4</v>
      </c>
      <c r="B962" s="2" t="s">
        <v>2</v>
      </c>
      <c r="C962" s="2">
        <v>25</v>
      </c>
      <c r="D962" s="3" t="s">
        <v>124</v>
      </c>
      <c r="E962" s="3">
        <v>5.5</v>
      </c>
    </row>
    <row r="963" spans="1:5" x14ac:dyDescent="0.15">
      <c r="A963" s="2" t="s">
        <v>4</v>
      </c>
      <c r="B963" s="2" t="s">
        <v>2</v>
      </c>
      <c r="C963" s="2">
        <v>25</v>
      </c>
      <c r="D963" s="3" t="s">
        <v>125</v>
      </c>
      <c r="E963" s="3">
        <v>6</v>
      </c>
    </row>
    <row r="964" spans="1:5" x14ac:dyDescent="0.15">
      <c r="A964" s="2" t="s">
        <v>4</v>
      </c>
      <c r="B964" s="2" t="s">
        <v>2</v>
      </c>
      <c r="C964" s="2">
        <v>25</v>
      </c>
      <c r="D964" s="3" t="s">
        <v>126</v>
      </c>
      <c r="E964" s="3">
        <v>6.5</v>
      </c>
    </row>
    <row r="965" spans="1:5" x14ac:dyDescent="0.15">
      <c r="A965" s="2" t="s">
        <v>4</v>
      </c>
      <c r="B965" s="2" t="s">
        <v>2</v>
      </c>
      <c r="C965" s="2">
        <v>32</v>
      </c>
      <c r="D965" s="3" t="s">
        <v>114</v>
      </c>
      <c r="E965" s="3">
        <v>2</v>
      </c>
    </row>
    <row r="966" spans="1:5" x14ac:dyDescent="0.15">
      <c r="A966" s="2" t="s">
        <v>4</v>
      </c>
      <c r="B966" s="2" t="s">
        <v>2</v>
      </c>
      <c r="C966" s="2">
        <v>32</v>
      </c>
      <c r="D966" s="3" t="s">
        <v>116</v>
      </c>
      <c r="E966" s="3">
        <v>2.5</v>
      </c>
    </row>
    <row r="967" spans="1:5" x14ac:dyDescent="0.15">
      <c r="A967" s="2" t="s">
        <v>4</v>
      </c>
      <c r="B967" s="2" t="s">
        <v>2</v>
      </c>
      <c r="C967" s="2">
        <v>32</v>
      </c>
      <c r="D967" s="3" t="s">
        <v>118</v>
      </c>
      <c r="E967" s="3">
        <v>3</v>
      </c>
    </row>
    <row r="968" spans="1:5" x14ac:dyDescent="0.15">
      <c r="A968" s="2" t="s">
        <v>4</v>
      </c>
      <c r="B968" s="2" t="s">
        <v>2</v>
      </c>
      <c r="C968" s="2">
        <v>32</v>
      </c>
      <c r="D968" s="3" t="s">
        <v>120</v>
      </c>
      <c r="E968" s="3">
        <v>3.5</v>
      </c>
    </row>
    <row r="969" spans="1:5" x14ac:dyDescent="0.15">
      <c r="A969" s="2" t="s">
        <v>4</v>
      </c>
      <c r="B969" s="2" t="s">
        <v>2</v>
      </c>
      <c r="C969" s="2">
        <v>32</v>
      </c>
      <c r="D969" s="3" t="s">
        <v>121</v>
      </c>
      <c r="E969" s="3">
        <v>4</v>
      </c>
    </row>
    <row r="970" spans="1:5" x14ac:dyDescent="0.15">
      <c r="A970" s="2" t="s">
        <v>4</v>
      </c>
      <c r="B970" s="2" t="s">
        <v>2</v>
      </c>
      <c r="C970" s="2">
        <v>32</v>
      </c>
      <c r="D970" s="3" t="s">
        <v>122</v>
      </c>
      <c r="E970" s="3">
        <v>4.5</v>
      </c>
    </row>
    <row r="971" spans="1:5" x14ac:dyDescent="0.15">
      <c r="A971" s="2" t="s">
        <v>4</v>
      </c>
      <c r="B971" s="2" t="s">
        <v>2</v>
      </c>
      <c r="C971" s="2">
        <v>32</v>
      </c>
      <c r="D971" s="3" t="s">
        <v>123</v>
      </c>
      <c r="E971" s="3">
        <v>5</v>
      </c>
    </row>
    <row r="972" spans="1:5" x14ac:dyDescent="0.15">
      <c r="A972" s="2" t="s">
        <v>4</v>
      </c>
      <c r="B972" s="2" t="s">
        <v>2</v>
      </c>
      <c r="C972" s="2">
        <v>32</v>
      </c>
      <c r="D972" s="3" t="s">
        <v>124</v>
      </c>
      <c r="E972" s="3">
        <v>5.5</v>
      </c>
    </row>
    <row r="973" spans="1:5" x14ac:dyDescent="0.15">
      <c r="A973" s="2" t="s">
        <v>4</v>
      </c>
      <c r="B973" s="2" t="s">
        <v>2</v>
      </c>
      <c r="C973" s="2">
        <v>32</v>
      </c>
      <c r="D973" s="3" t="s">
        <v>125</v>
      </c>
      <c r="E973" s="3">
        <v>6</v>
      </c>
    </row>
    <row r="974" spans="1:5" x14ac:dyDescent="0.15">
      <c r="A974" s="2" t="s">
        <v>4</v>
      </c>
      <c r="B974" s="2" t="s">
        <v>2</v>
      </c>
      <c r="C974" s="2">
        <v>32</v>
      </c>
      <c r="D974" s="3" t="s">
        <v>126</v>
      </c>
      <c r="E974" s="3">
        <v>6.5</v>
      </c>
    </row>
    <row r="975" spans="1:5" x14ac:dyDescent="0.15">
      <c r="A975" s="2" t="s">
        <v>4</v>
      </c>
      <c r="B975" s="2" t="s">
        <v>3</v>
      </c>
      <c r="C975" s="2">
        <v>40</v>
      </c>
      <c r="D975" s="3" t="s">
        <v>114</v>
      </c>
      <c r="E975" s="3">
        <v>2</v>
      </c>
    </row>
    <row r="976" spans="1:5" x14ac:dyDescent="0.15">
      <c r="A976" s="2" t="s">
        <v>4</v>
      </c>
      <c r="B976" s="2" t="s">
        <v>2</v>
      </c>
      <c r="C976" s="2">
        <v>40</v>
      </c>
      <c r="D976" s="3" t="s">
        <v>116</v>
      </c>
      <c r="E976" s="3">
        <v>2.5</v>
      </c>
    </row>
    <row r="977" spans="1:5" x14ac:dyDescent="0.15">
      <c r="A977" s="2" t="s">
        <v>4</v>
      </c>
      <c r="B977" s="2" t="s">
        <v>2</v>
      </c>
      <c r="C977" s="2">
        <v>40</v>
      </c>
      <c r="D977" s="3" t="s">
        <v>118</v>
      </c>
      <c r="E977" s="3">
        <v>3</v>
      </c>
    </row>
    <row r="978" spans="1:5" x14ac:dyDescent="0.15">
      <c r="A978" s="2" t="s">
        <v>4</v>
      </c>
      <c r="B978" s="2" t="s">
        <v>2</v>
      </c>
      <c r="C978" s="2">
        <v>40</v>
      </c>
      <c r="D978" s="3" t="s">
        <v>120</v>
      </c>
      <c r="E978" s="3">
        <v>3.5</v>
      </c>
    </row>
    <row r="979" spans="1:5" x14ac:dyDescent="0.15">
      <c r="A979" s="2" t="s">
        <v>4</v>
      </c>
      <c r="B979" s="2" t="s">
        <v>2</v>
      </c>
      <c r="C979" s="2">
        <v>40</v>
      </c>
      <c r="D979" s="3" t="s">
        <v>121</v>
      </c>
      <c r="E979" s="3">
        <v>4</v>
      </c>
    </row>
    <row r="980" spans="1:5" x14ac:dyDescent="0.15">
      <c r="A980" s="2" t="s">
        <v>4</v>
      </c>
      <c r="B980" s="2" t="s">
        <v>2</v>
      </c>
      <c r="C980" s="2">
        <v>40</v>
      </c>
      <c r="D980" s="3" t="s">
        <v>122</v>
      </c>
      <c r="E980" s="3">
        <v>4.5</v>
      </c>
    </row>
    <row r="981" spans="1:5" x14ac:dyDescent="0.15">
      <c r="A981" s="2" t="s">
        <v>4</v>
      </c>
      <c r="B981" s="2" t="s">
        <v>2</v>
      </c>
      <c r="C981" s="2">
        <v>40</v>
      </c>
      <c r="D981" s="3" t="s">
        <v>123</v>
      </c>
      <c r="E981" s="3">
        <v>5</v>
      </c>
    </row>
    <row r="982" spans="1:5" x14ac:dyDescent="0.15">
      <c r="A982" s="2" t="s">
        <v>4</v>
      </c>
      <c r="B982" s="2" t="s">
        <v>2</v>
      </c>
      <c r="C982" s="2">
        <v>40</v>
      </c>
      <c r="D982" s="3" t="s">
        <v>124</v>
      </c>
      <c r="E982" s="3">
        <v>5.5</v>
      </c>
    </row>
    <row r="983" spans="1:5" x14ac:dyDescent="0.15">
      <c r="A983" s="2" t="s">
        <v>4</v>
      </c>
      <c r="B983" s="2" t="s">
        <v>2</v>
      </c>
      <c r="C983" s="2">
        <v>40</v>
      </c>
      <c r="D983" s="3" t="s">
        <v>125</v>
      </c>
      <c r="E983" s="3">
        <v>6</v>
      </c>
    </row>
    <row r="984" spans="1:5" x14ac:dyDescent="0.15">
      <c r="A984" s="2" t="s">
        <v>4</v>
      </c>
      <c r="B984" s="2" t="s">
        <v>2</v>
      </c>
      <c r="C984" s="2">
        <v>40</v>
      </c>
      <c r="D984" s="3" t="s">
        <v>126</v>
      </c>
      <c r="E984" s="3">
        <v>6.5</v>
      </c>
    </row>
    <row r="985" spans="1:5" x14ac:dyDescent="0.15">
      <c r="A985" s="2" t="s">
        <v>4</v>
      </c>
      <c r="B985" s="2" t="s">
        <v>2</v>
      </c>
      <c r="C985" s="2">
        <v>40</v>
      </c>
      <c r="D985" s="3" t="s">
        <v>127</v>
      </c>
      <c r="E985" s="3">
        <v>7</v>
      </c>
    </row>
    <row r="986" spans="1:5" x14ac:dyDescent="0.15">
      <c r="A986" s="2" t="s">
        <v>4</v>
      </c>
      <c r="B986" s="2" t="s">
        <v>2</v>
      </c>
      <c r="C986" s="2">
        <v>50</v>
      </c>
      <c r="D986" s="3" t="s">
        <v>116</v>
      </c>
      <c r="E986" s="3">
        <v>2.5</v>
      </c>
    </row>
    <row r="987" spans="1:5" x14ac:dyDescent="0.15">
      <c r="A987" s="2" t="s">
        <v>4</v>
      </c>
      <c r="B987" s="2" t="s">
        <v>2</v>
      </c>
      <c r="C987" s="2">
        <v>50</v>
      </c>
      <c r="D987" s="3" t="s">
        <v>118</v>
      </c>
      <c r="E987" s="3">
        <v>3</v>
      </c>
    </row>
    <row r="988" spans="1:5" x14ac:dyDescent="0.15">
      <c r="A988" s="2" t="s">
        <v>4</v>
      </c>
      <c r="B988" s="2" t="s">
        <v>2</v>
      </c>
      <c r="C988" s="2">
        <v>50</v>
      </c>
      <c r="D988" s="3" t="s">
        <v>120</v>
      </c>
      <c r="E988" s="3">
        <v>3.5</v>
      </c>
    </row>
    <row r="989" spans="1:5" x14ac:dyDescent="0.15">
      <c r="A989" s="2" t="s">
        <v>4</v>
      </c>
      <c r="B989" s="2" t="s">
        <v>2</v>
      </c>
      <c r="C989" s="2">
        <v>50</v>
      </c>
      <c r="D989" s="3" t="s">
        <v>121</v>
      </c>
      <c r="E989" s="3">
        <v>4</v>
      </c>
    </row>
    <row r="990" spans="1:5" x14ac:dyDescent="0.15">
      <c r="A990" s="2" t="s">
        <v>4</v>
      </c>
      <c r="B990" s="2" t="s">
        <v>2</v>
      </c>
      <c r="C990" s="2">
        <v>50</v>
      </c>
      <c r="D990" s="3" t="s">
        <v>122</v>
      </c>
      <c r="E990" s="3">
        <v>4.5</v>
      </c>
    </row>
    <row r="991" spans="1:5" x14ac:dyDescent="0.15">
      <c r="A991" s="2" t="s">
        <v>4</v>
      </c>
      <c r="B991" s="2" t="s">
        <v>2</v>
      </c>
      <c r="C991" s="2">
        <v>50</v>
      </c>
      <c r="D991" s="3" t="s">
        <v>123</v>
      </c>
      <c r="E991" s="3">
        <v>5</v>
      </c>
    </row>
    <row r="992" spans="1:5" x14ac:dyDescent="0.15">
      <c r="A992" s="2" t="s">
        <v>4</v>
      </c>
      <c r="B992" s="2" t="s">
        <v>2</v>
      </c>
      <c r="C992" s="2">
        <v>50</v>
      </c>
      <c r="D992" s="3" t="s">
        <v>124</v>
      </c>
      <c r="E992" s="3">
        <v>5.5</v>
      </c>
    </row>
    <row r="993" spans="1:5" x14ac:dyDescent="0.15">
      <c r="A993" s="2" t="s">
        <v>4</v>
      </c>
      <c r="B993" s="2" t="s">
        <v>2</v>
      </c>
      <c r="C993" s="2">
        <v>50</v>
      </c>
      <c r="D993" s="3" t="s">
        <v>125</v>
      </c>
      <c r="E993" s="3">
        <v>6</v>
      </c>
    </row>
    <row r="994" spans="1:5" x14ac:dyDescent="0.15">
      <c r="A994" s="2" t="s">
        <v>4</v>
      </c>
      <c r="B994" s="2" t="s">
        <v>2</v>
      </c>
      <c r="C994" s="2">
        <v>50</v>
      </c>
      <c r="D994" s="3" t="s">
        <v>126</v>
      </c>
      <c r="E994" s="3">
        <v>6.5</v>
      </c>
    </row>
    <row r="995" spans="1:5" x14ac:dyDescent="0.15">
      <c r="A995" s="2" t="s">
        <v>4</v>
      </c>
      <c r="B995" s="2" t="s">
        <v>2</v>
      </c>
      <c r="C995" s="2">
        <v>50</v>
      </c>
      <c r="D995" s="3" t="s">
        <v>127</v>
      </c>
      <c r="E995" s="3">
        <v>7</v>
      </c>
    </row>
    <row r="996" spans="1:5" x14ac:dyDescent="0.15">
      <c r="A996" s="2" t="s">
        <v>4</v>
      </c>
      <c r="B996" s="2" t="s">
        <v>2</v>
      </c>
      <c r="C996" s="2">
        <v>50</v>
      </c>
      <c r="D996" s="3" t="s">
        <v>128</v>
      </c>
      <c r="E996" s="3">
        <v>7.5</v>
      </c>
    </row>
    <row r="997" spans="1:5" x14ac:dyDescent="0.15">
      <c r="A997" s="2" t="s">
        <v>4</v>
      </c>
      <c r="B997" s="2" t="s">
        <v>2</v>
      </c>
      <c r="C997" s="2">
        <v>50</v>
      </c>
      <c r="D997" s="3" t="s">
        <v>102</v>
      </c>
      <c r="E997" s="3">
        <v>8</v>
      </c>
    </row>
    <row r="998" spans="1:5" x14ac:dyDescent="0.15">
      <c r="A998" s="2" t="s">
        <v>4</v>
      </c>
      <c r="B998" s="2" t="s">
        <v>2</v>
      </c>
      <c r="C998" s="2">
        <v>50</v>
      </c>
      <c r="D998" s="3" t="s">
        <v>129</v>
      </c>
      <c r="E998" s="3">
        <v>8.5</v>
      </c>
    </row>
    <row r="999" spans="1:5" x14ac:dyDescent="0.15">
      <c r="A999" s="2" t="s">
        <v>4</v>
      </c>
      <c r="B999" s="2" t="s">
        <v>2</v>
      </c>
      <c r="C999" s="2">
        <v>50</v>
      </c>
      <c r="D999" s="3" t="s">
        <v>130</v>
      </c>
      <c r="E999" s="3">
        <v>9</v>
      </c>
    </row>
    <row r="1000" spans="1:5" x14ac:dyDescent="0.15">
      <c r="A1000" s="2" t="s">
        <v>4</v>
      </c>
      <c r="B1000" s="2" t="s">
        <v>3</v>
      </c>
      <c r="C1000" s="2">
        <v>65</v>
      </c>
      <c r="D1000" s="3" t="s">
        <v>118</v>
      </c>
      <c r="E1000" s="3">
        <v>3</v>
      </c>
    </row>
    <row r="1001" spans="1:5" x14ac:dyDescent="0.15">
      <c r="A1001" s="2" t="s">
        <v>4</v>
      </c>
      <c r="B1001" s="2" t="s">
        <v>2</v>
      </c>
      <c r="C1001" s="2">
        <v>65</v>
      </c>
      <c r="D1001" s="3" t="s">
        <v>120</v>
      </c>
      <c r="E1001" s="3">
        <v>3.5</v>
      </c>
    </row>
    <row r="1002" spans="1:5" x14ac:dyDescent="0.15">
      <c r="A1002" s="2" t="s">
        <v>4</v>
      </c>
      <c r="B1002" s="2" t="s">
        <v>2</v>
      </c>
      <c r="C1002" s="2">
        <v>65</v>
      </c>
      <c r="D1002" s="3" t="s">
        <v>121</v>
      </c>
      <c r="E1002" s="3">
        <v>4</v>
      </c>
    </row>
    <row r="1003" spans="1:5" x14ac:dyDescent="0.15">
      <c r="A1003" s="2" t="s">
        <v>4</v>
      </c>
      <c r="B1003" s="2" t="s">
        <v>2</v>
      </c>
      <c r="C1003" s="2">
        <v>65</v>
      </c>
      <c r="D1003" s="3" t="s">
        <v>122</v>
      </c>
      <c r="E1003" s="3">
        <v>4.5</v>
      </c>
    </row>
    <row r="1004" spans="1:5" x14ac:dyDescent="0.15">
      <c r="A1004" s="2" t="s">
        <v>4</v>
      </c>
      <c r="B1004" s="2" t="s">
        <v>2</v>
      </c>
      <c r="C1004" s="2">
        <v>65</v>
      </c>
      <c r="D1004" s="3" t="s">
        <v>123</v>
      </c>
      <c r="E1004" s="3">
        <v>5</v>
      </c>
    </row>
    <row r="1005" spans="1:5" x14ac:dyDescent="0.15">
      <c r="A1005" s="2" t="s">
        <v>4</v>
      </c>
      <c r="B1005" s="2" t="s">
        <v>2</v>
      </c>
      <c r="C1005" s="2">
        <v>65</v>
      </c>
      <c r="D1005" s="3" t="s">
        <v>124</v>
      </c>
      <c r="E1005" s="3">
        <v>5.5</v>
      </c>
    </row>
    <row r="1006" spans="1:5" x14ac:dyDescent="0.15">
      <c r="A1006" s="2" t="s">
        <v>4</v>
      </c>
      <c r="B1006" s="2" t="s">
        <v>2</v>
      </c>
      <c r="C1006" s="2">
        <v>65</v>
      </c>
      <c r="D1006" s="3" t="s">
        <v>125</v>
      </c>
      <c r="E1006" s="3">
        <v>6</v>
      </c>
    </row>
    <row r="1007" spans="1:5" x14ac:dyDescent="0.15">
      <c r="A1007" s="2" t="s">
        <v>4</v>
      </c>
      <c r="B1007" s="2" t="s">
        <v>2</v>
      </c>
      <c r="C1007" s="2">
        <v>65</v>
      </c>
      <c r="D1007" s="3" t="s">
        <v>126</v>
      </c>
      <c r="E1007" s="3">
        <v>6.5</v>
      </c>
    </row>
    <row r="1008" spans="1:5" x14ac:dyDescent="0.15">
      <c r="A1008" s="2" t="s">
        <v>4</v>
      </c>
      <c r="B1008" s="2" t="s">
        <v>2</v>
      </c>
      <c r="C1008" s="2">
        <v>65</v>
      </c>
      <c r="D1008" s="3" t="s">
        <v>127</v>
      </c>
      <c r="E1008" s="3">
        <v>7</v>
      </c>
    </row>
    <row r="1009" spans="1:5" x14ac:dyDescent="0.15">
      <c r="A1009" s="2" t="s">
        <v>4</v>
      </c>
      <c r="B1009" s="2" t="s">
        <v>2</v>
      </c>
      <c r="C1009" s="2">
        <v>65</v>
      </c>
      <c r="D1009" s="3" t="s">
        <v>128</v>
      </c>
      <c r="E1009" s="3">
        <v>7.5</v>
      </c>
    </row>
    <row r="1010" spans="1:5" x14ac:dyDescent="0.15">
      <c r="A1010" s="2" t="s">
        <v>4</v>
      </c>
      <c r="B1010" s="2" t="s">
        <v>2</v>
      </c>
      <c r="C1010" s="2">
        <v>65</v>
      </c>
      <c r="D1010" s="3" t="s">
        <v>102</v>
      </c>
      <c r="E1010" s="3">
        <v>8</v>
      </c>
    </row>
    <row r="1011" spans="1:5" x14ac:dyDescent="0.15">
      <c r="A1011" s="2" t="s">
        <v>4</v>
      </c>
      <c r="B1011" s="2" t="s">
        <v>2</v>
      </c>
      <c r="C1011" s="2">
        <v>65</v>
      </c>
      <c r="D1011" s="3" t="s">
        <v>129</v>
      </c>
      <c r="E1011" s="3">
        <v>8.5</v>
      </c>
    </row>
    <row r="1012" spans="1:5" x14ac:dyDescent="0.15">
      <c r="A1012" s="2" t="s">
        <v>4</v>
      </c>
      <c r="B1012" s="2" t="s">
        <v>2</v>
      </c>
      <c r="C1012" s="2">
        <v>65</v>
      </c>
      <c r="D1012" s="3" t="s">
        <v>130</v>
      </c>
      <c r="E1012" s="3">
        <v>9</v>
      </c>
    </row>
    <row r="1013" spans="1:5" x14ac:dyDescent="0.15">
      <c r="A1013" s="2" t="s">
        <v>4</v>
      </c>
      <c r="B1013" s="2" t="s">
        <v>2</v>
      </c>
      <c r="C1013" s="2">
        <v>65</v>
      </c>
      <c r="D1013" s="3" t="s">
        <v>131</v>
      </c>
      <c r="E1013" s="3">
        <v>9.5</v>
      </c>
    </row>
    <row r="1014" spans="1:5" x14ac:dyDescent="0.15">
      <c r="A1014" s="2" t="s">
        <v>4</v>
      </c>
      <c r="B1014" s="2" t="s">
        <v>2</v>
      </c>
      <c r="C1014" s="2">
        <v>65</v>
      </c>
      <c r="D1014" s="3" t="s">
        <v>104</v>
      </c>
      <c r="E1014" s="3">
        <v>10</v>
      </c>
    </row>
    <row r="1015" spans="1:5" x14ac:dyDescent="0.15">
      <c r="A1015" s="2" t="s">
        <v>4</v>
      </c>
      <c r="B1015" s="2" t="s">
        <v>2</v>
      </c>
      <c r="C1015" s="2">
        <v>80</v>
      </c>
      <c r="D1015" s="3" t="s">
        <v>118</v>
      </c>
      <c r="E1015" s="3">
        <v>3</v>
      </c>
    </row>
    <row r="1016" spans="1:5" x14ac:dyDescent="0.15">
      <c r="A1016" s="2" t="s">
        <v>4</v>
      </c>
      <c r="B1016" s="2" t="s">
        <v>2</v>
      </c>
      <c r="C1016" s="2">
        <v>80</v>
      </c>
      <c r="D1016" s="3" t="s">
        <v>120</v>
      </c>
      <c r="E1016" s="3">
        <v>3.5</v>
      </c>
    </row>
    <row r="1017" spans="1:5" x14ac:dyDescent="0.15">
      <c r="A1017" s="2" t="s">
        <v>4</v>
      </c>
      <c r="B1017" s="2" t="s">
        <v>2</v>
      </c>
      <c r="C1017" s="2">
        <v>80</v>
      </c>
      <c r="D1017" s="3" t="s">
        <v>121</v>
      </c>
      <c r="E1017" s="3">
        <v>4</v>
      </c>
    </row>
    <row r="1018" spans="1:5" x14ac:dyDescent="0.15">
      <c r="A1018" s="2" t="s">
        <v>4</v>
      </c>
      <c r="B1018" s="2" t="s">
        <v>2</v>
      </c>
      <c r="C1018" s="2">
        <v>80</v>
      </c>
      <c r="D1018" s="3" t="s">
        <v>122</v>
      </c>
      <c r="E1018" s="3">
        <v>4.5</v>
      </c>
    </row>
    <row r="1019" spans="1:5" x14ac:dyDescent="0.15">
      <c r="A1019" s="2" t="s">
        <v>4</v>
      </c>
      <c r="B1019" s="2" t="s">
        <v>2</v>
      </c>
      <c r="C1019" s="2">
        <v>80</v>
      </c>
      <c r="D1019" s="3" t="s">
        <v>123</v>
      </c>
      <c r="E1019" s="3">
        <v>5</v>
      </c>
    </row>
    <row r="1020" spans="1:5" x14ac:dyDescent="0.15">
      <c r="A1020" s="2" t="s">
        <v>4</v>
      </c>
      <c r="B1020" s="2" t="s">
        <v>2</v>
      </c>
      <c r="C1020" s="2">
        <v>80</v>
      </c>
      <c r="D1020" s="3" t="s">
        <v>124</v>
      </c>
      <c r="E1020" s="3">
        <v>5.5</v>
      </c>
    </row>
    <row r="1021" spans="1:5" x14ac:dyDescent="0.15">
      <c r="A1021" s="2" t="s">
        <v>4</v>
      </c>
      <c r="B1021" s="2" t="s">
        <v>2</v>
      </c>
      <c r="C1021" s="2">
        <v>80</v>
      </c>
      <c r="D1021" s="3" t="s">
        <v>125</v>
      </c>
      <c r="E1021" s="3">
        <v>6</v>
      </c>
    </row>
    <row r="1022" spans="1:5" x14ac:dyDescent="0.15">
      <c r="A1022" s="2" t="s">
        <v>4</v>
      </c>
      <c r="B1022" s="2" t="s">
        <v>2</v>
      </c>
      <c r="C1022" s="2">
        <v>80</v>
      </c>
      <c r="D1022" s="3" t="s">
        <v>126</v>
      </c>
      <c r="E1022" s="3">
        <v>6.5</v>
      </c>
    </row>
    <row r="1023" spans="1:5" x14ac:dyDescent="0.15">
      <c r="A1023" s="2" t="s">
        <v>4</v>
      </c>
      <c r="B1023" s="2" t="s">
        <v>2</v>
      </c>
      <c r="C1023" s="2">
        <v>80</v>
      </c>
      <c r="D1023" s="3" t="s">
        <v>127</v>
      </c>
      <c r="E1023" s="3">
        <v>7</v>
      </c>
    </row>
    <row r="1024" spans="1:5" x14ac:dyDescent="0.15">
      <c r="A1024" s="2" t="s">
        <v>4</v>
      </c>
      <c r="B1024" s="2" t="s">
        <v>2</v>
      </c>
      <c r="C1024" s="2">
        <v>80</v>
      </c>
      <c r="D1024" s="3" t="s">
        <v>128</v>
      </c>
      <c r="E1024" s="3">
        <v>7.5</v>
      </c>
    </row>
    <row r="1025" spans="1:5" x14ac:dyDescent="0.15">
      <c r="A1025" s="2" t="s">
        <v>4</v>
      </c>
      <c r="B1025" s="2" t="s">
        <v>2</v>
      </c>
      <c r="C1025" s="2">
        <v>80</v>
      </c>
      <c r="D1025" s="3" t="s">
        <v>102</v>
      </c>
      <c r="E1025" s="3">
        <v>8</v>
      </c>
    </row>
    <row r="1026" spans="1:5" x14ac:dyDescent="0.15">
      <c r="A1026" s="2" t="s">
        <v>4</v>
      </c>
      <c r="B1026" s="2" t="s">
        <v>2</v>
      </c>
      <c r="C1026" s="2">
        <v>80</v>
      </c>
      <c r="D1026" s="3" t="s">
        <v>129</v>
      </c>
      <c r="E1026" s="3">
        <v>8.5</v>
      </c>
    </row>
    <row r="1027" spans="1:5" x14ac:dyDescent="0.15">
      <c r="A1027" s="2" t="s">
        <v>4</v>
      </c>
      <c r="B1027" s="2" t="s">
        <v>2</v>
      </c>
      <c r="C1027" s="2">
        <v>80</v>
      </c>
      <c r="D1027" s="3" t="s">
        <v>130</v>
      </c>
      <c r="E1027" s="3">
        <v>9</v>
      </c>
    </row>
    <row r="1028" spans="1:5" x14ac:dyDescent="0.15">
      <c r="A1028" s="2" t="s">
        <v>4</v>
      </c>
      <c r="B1028" s="2" t="s">
        <v>2</v>
      </c>
      <c r="C1028" s="2">
        <v>80</v>
      </c>
      <c r="D1028" s="3" t="s">
        <v>131</v>
      </c>
      <c r="E1028" s="3">
        <v>9.5</v>
      </c>
    </row>
    <row r="1029" spans="1:5" x14ac:dyDescent="0.15">
      <c r="A1029" s="2" t="s">
        <v>4</v>
      </c>
      <c r="B1029" s="2" t="s">
        <v>2</v>
      </c>
      <c r="C1029" s="2">
        <v>80</v>
      </c>
      <c r="D1029" s="3" t="s">
        <v>104</v>
      </c>
      <c r="E1029" s="3">
        <v>10</v>
      </c>
    </row>
    <row r="1030" spans="1:5" x14ac:dyDescent="0.15">
      <c r="A1030" s="2" t="s">
        <v>4</v>
      </c>
      <c r="B1030" s="2" t="s">
        <v>2</v>
      </c>
      <c r="C1030" s="2">
        <v>80</v>
      </c>
      <c r="D1030" s="3" t="s">
        <v>105</v>
      </c>
      <c r="E1030" s="3">
        <v>11</v>
      </c>
    </row>
    <row r="1031" spans="1:5" x14ac:dyDescent="0.15">
      <c r="A1031" s="2" t="s">
        <v>4</v>
      </c>
      <c r="B1031" s="2" t="s">
        <v>3</v>
      </c>
      <c r="C1031" s="2">
        <v>100</v>
      </c>
      <c r="D1031" s="3" t="s">
        <v>118</v>
      </c>
      <c r="E1031" s="3">
        <v>3</v>
      </c>
    </row>
    <row r="1032" spans="1:5" x14ac:dyDescent="0.15">
      <c r="A1032" s="2" t="s">
        <v>4</v>
      </c>
      <c r="B1032" s="2" t="s">
        <v>2</v>
      </c>
      <c r="C1032" s="2">
        <v>100</v>
      </c>
      <c r="D1032" s="3" t="s">
        <v>120</v>
      </c>
      <c r="E1032" s="3">
        <v>3.5</v>
      </c>
    </row>
    <row r="1033" spans="1:5" x14ac:dyDescent="0.15">
      <c r="A1033" s="2" t="s">
        <v>4</v>
      </c>
      <c r="B1033" s="2" t="s">
        <v>2</v>
      </c>
      <c r="C1033" s="2">
        <v>100</v>
      </c>
      <c r="D1033" s="3" t="s">
        <v>121</v>
      </c>
      <c r="E1033" s="3">
        <v>4</v>
      </c>
    </row>
    <row r="1034" spans="1:5" x14ac:dyDescent="0.15">
      <c r="A1034" s="2" t="s">
        <v>4</v>
      </c>
      <c r="B1034" s="2" t="s">
        <v>2</v>
      </c>
      <c r="C1034" s="2">
        <v>100</v>
      </c>
      <c r="D1034" s="3" t="s">
        <v>122</v>
      </c>
      <c r="E1034" s="3">
        <v>4.5</v>
      </c>
    </row>
    <row r="1035" spans="1:5" x14ac:dyDescent="0.15">
      <c r="A1035" s="2" t="s">
        <v>4</v>
      </c>
      <c r="B1035" s="2" t="s">
        <v>2</v>
      </c>
      <c r="C1035" s="2">
        <v>100</v>
      </c>
      <c r="D1035" s="3" t="s">
        <v>123</v>
      </c>
      <c r="E1035" s="3">
        <v>5</v>
      </c>
    </row>
    <row r="1036" spans="1:5" x14ac:dyDescent="0.15">
      <c r="A1036" s="2" t="s">
        <v>4</v>
      </c>
      <c r="B1036" s="2" t="s">
        <v>2</v>
      </c>
      <c r="C1036" s="2">
        <v>100</v>
      </c>
      <c r="D1036" s="3" t="s">
        <v>124</v>
      </c>
      <c r="E1036" s="3">
        <v>5.5</v>
      </c>
    </row>
    <row r="1037" spans="1:5" x14ac:dyDescent="0.15">
      <c r="A1037" s="2" t="s">
        <v>4</v>
      </c>
      <c r="B1037" s="2" t="s">
        <v>2</v>
      </c>
      <c r="C1037" s="2">
        <v>100</v>
      </c>
      <c r="D1037" s="3" t="s">
        <v>125</v>
      </c>
      <c r="E1037" s="3">
        <v>6</v>
      </c>
    </row>
    <row r="1038" spans="1:5" x14ac:dyDescent="0.15">
      <c r="A1038" s="2" t="s">
        <v>4</v>
      </c>
      <c r="B1038" s="2" t="s">
        <v>2</v>
      </c>
      <c r="C1038" s="2">
        <v>100</v>
      </c>
      <c r="D1038" s="3" t="s">
        <v>126</v>
      </c>
      <c r="E1038" s="3">
        <v>6.5</v>
      </c>
    </row>
    <row r="1039" spans="1:5" x14ac:dyDescent="0.15">
      <c r="A1039" s="2" t="s">
        <v>4</v>
      </c>
      <c r="B1039" s="2" t="s">
        <v>2</v>
      </c>
      <c r="C1039" s="2">
        <v>100</v>
      </c>
      <c r="D1039" s="3" t="s">
        <v>127</v>
      </c>
      <c r="E1039" s="3">
        <v>7</v>
      </c>
    </row>
    <row r="1040" spans="1:5" x14ac:dyDescent="0.15">
      <c r="A1040" s="2" t="s">
        <v>4</v>
      </c>
      <c r="B1040" s="2" t="s">
        <v>2</v>
      </c>
      <c r="C1040" s="2">
        <v>100</v>
      </c>
      <c r="D1040" s="3" t="s">
        <v>128</v>
      </c>
      <c r="E1040" s="3">
        <v>7.5</v>
      </c>
    </row>
    <row r="1041" spans="1:5" x14ac:dyDescent="0.15">
      <c r="A1041" s="2" t="s">
        <v>4</v>
      </c>
      <c r="B1041" s="2" t="s">
        <v>2</v>
      </c>
      <c r="C1041" s="2">
        <v>100</v>
      </c>
      <c r="D1041" s="3" t="s">
        <v>102</v>
      </c>
      <c r="E1041" s="3">
        <v>8</v>
      </c>
    </row>
    <row r="1042" spans="1:5" x14ac:dyDescent="0.15">
      <c r="A1042" s="2" t="s">
        <v>4</v>
      </c>
      <c r="B1042" s="2" t="s">
        <v>2</v>
      </c>
      <c r="C1042" s="2">
        <v>100</v>
      </c>
      <c r="D1042" s="3" t="s">
        <v>129</v>
      </c>
      <c r="E1042" s="3">
        <v>8.5</v>
      </c>
    </row>
    <row r="1043" spans="1:5" x14ac:dyDescent="0.15">
      <c r="A1043" s="2" t="s">
        <v>4</v>
      </c>
      <c r="B1043" s="2" t="s">
        <v>2</v>
      </c>
      <c r="C1043" s="2">
        <v>100</v>
      </c>
      <c r="D1043" s="3" t="s">
        <v>130</v>
      </c>
      <c r="E1043" s="3">
        <v>9</v>
      </c>
    </row>
    <row r="1044" spans="1:5" x14ac:dyDescent="0.15">
      <c r="A1044" s="2" t="s">
        <v>4</v>
      </c>
      <c r="B1044" s="2" t="s">
        <v>2</v>
      </c>
      <c r="C1044" s="2">
        <v>100</v>
      </c>
      <c r="D1044" s="3" t="s">
        <v>131</v>
      </c>
      <c r="E1044" s="3">
        <v>9.5</v>
      </c>
    </row>
    <row r="1045" spans="1:5" x14ac:dyDescent="0.15">
      <c r="A1045" s="2" t="s">
        <v>4</v>
      </c>
      <c r="B1045" s="2" t="s">
        <v>2</v>
      </c>
      <c r="C1045" s="2">
        <v>100</v>
      </c>
      <c r="D1045" s="3" t="s">
        <v>104</v>
      </c>
      <c r="E1045" s="3">
        <v>10</v>
      </c>
    </row>
    <row r="1046" spans="1:5" x14ac:dyDescent="0.15">
      <c r="A1046" s="2" t="s">
        <v>4</v>
      </c>
      <c r="B1046" s="2" t="s">
        <v>2</v>
      </c>
      <c r="C1046" s="2">
        <v>100</v>
      </c>
      <c r="D1046" s="3" t="s">
        <v>105</v>
      </c>
      <c r="E1046" s="3">
        <v>11</v>
      </c>
    </row>
    <row r="1047" spans="1:5" x14ac:dyDescent="0.15">
      <c r="A1047" s="2" t="s">
        <v>4</v>
      </c>
      <c r="B1047" s="2" t="s">
        <v>2</v>
      </c>
      <c r="C1047" s="2">
        <v>100</v>
      </c>
      <c r="D1047" s="3" t="s">
        <v>132</v>
      </c>
      <c r="E1047" s="3">
        <v>12</v>
      </c>
    </row>
    <row r="1048" spans="1:5" x14ac:dyDescent="0.15">
      <c r="A1048" s="2" t="s">
        <v>4</v>
      </c>
      <c r="B1048" s="2" t="s">
        <v>2</v>
      </c>
      <c r="C1048" s="2">
        <v>100</v>
      </c>
      <c r="D1048" s="3" t="s">
        <v>133</v>
      </c>
      <c r="E1048" s="3">
        <v>13</v>
      </c>
    </row>
    <row r="1049" spans="1:5" x14ac:dyDescent="0.15">
      <c r="A1049" s="2" t="s">
        <v>4</v>
      </c>
      <c r="B1049" s="2" t="s">
        <v>2</v>
      </c>
      <c r="C1049" s="2">
        <v>100</v>
      </c>
      <c r="D1049" s="3" t="s">
        <v>134</v>
      </c>
      <c r="E1049" s="3">
        <v>14</v>
      </c>
    </row>
    <row r="1050" spans="1:5" x14ac:dyDescent="0.15">
      <c r="A1050" s="2" t="s">
        <v>4</v>
      </c>
      <c r="B1050" s="2" t="s">
        <v>2</v>
      </c>
      <c r="C1050" s="2">
        <v>125</v>
      </c>
      <c r="D1050" s="3" t="s">
        <v>118</v>
      </c>
      <c r="E1050" s="3">
        <v>3</v>
      </c>
    </row>
    <row r="1051" spans="1:5" x14ac:dyDescent="0.15">
      <c r="A1051" s="2" t="s">
        <v>4</v>
      </c>
      <c r="B1051" s="2" t="s">
        <v>2</v>
      </c>
      <c r="C1051" s="2">
        <v>125</v>
      </c>
      <c r="D1051" s="3" t="s">
        <v>120</v>
      </c>
      <c r="E1051" s="3">
        <v>3.5</v>
      </c>
    </row>
    <row r="1052" spans="1:5" x14ac:dyDescent="0.15">
      <c r="A1052" s="2" t="s">
        <v>4</v>
      </c>
      <c r="B1052" s="2" t="s">
        <v>2</v>
      </c>
      <c r="C1052" s="2">
        <v>125</v>
      </c>
      <c r="D1052" s="3" t="s">
        <v>121</v>
      </c>
      <c r="E1052" s="3">
        <v>4</v>
      </c>
    </row>
    <row r="1053" spans="1:5" x14ac:dyDescent="0.15">
      <c r="A1053" s="2" t="s">
        <v>4</v>
      </c>
      <c r="B1053" s="2" t="s">
        <v>2</v>
      </c>
      <c r="C1053" s="2">
        <v>125</v>
      </c>
      <c r="D1053" s="3" t="s">
        <v>122</v>
      </c>
      <c r="E1053" s="3">
        <v>4.5</v>
      </c>
    </row>
    <row r="1054" spans="1:5" x14ac:dyDescent="0.15">
      <c r="A1054" s="2" t="s">
        <v>4</v>
      </c>
      <c r="B1054" s="2" t="s">
        <v>2</v>
      </c>
      <c r="C1054" s="2">
        <v>125</v>
      </c>
      <c r="D1054" s="3" t="s">
        <v>123</v>
      </c>
      <c r="E1054" s="3">
        <v>5</v>
      </c>
    </row>
    <row r="1055" spans="1:5" x14ac:dyDescent="0.15">
      <c r="A1055" s="2" t="s">
        <v>4</v>
      </c>
      <c r="B1055" s="2" t="s">
        <v>2</v>
      </c>
      <c r="C1055" s="2">
        <v>125</v>
      </c>
      <c r="D1055" s="3" t="s">
        <v>124</v>
      </c>
      <c r="E1055" s="3">
        <v>5.5</v>
      </c>
    </row>
    <row r="1056" spans="1:5" x14ac:dyDescent="0.15">
      <c r="A1056" s="2" t="s">
        <v>4</v>
      </c>
      <c r="B1056" s="2" t="s">
        <v>2</v>
      </c>
      <c r="C1056" s="2">
        <v>125</v>
      </c>
      <c r="D1056" s="3" t="s">
        <v>125</v>
      </c>
      <c r="E1056" s="3">
        <v>6</v>
      </c>
    </row>
    <row r="1057" spans="1:5" x14ac:dyDescent="0.15">
      <c r="A1057" s="2" t="s">
        <v>4</v>
      </c>
      <c r="B1057" s="2" t="s">
        <v>2</v>
      </c>
      <c r="C1057" s="2">
        <v>125</v>
      </c>
      <c r="D1057" s="3" t="s">
        <v>126</v>
      </c>
      <c r="E1057" s="3">
        <v>6.5</v>
      </c>
    </row>
    <row r="1058" spans="1:5" x14ac:dyDescent="0.15">
      <c r="A1058" s="2" t="s">
        <v>4</v>
      </c>
      <c r="B1058" s="2" t="s">
        <v>2</v>
      </c>
      <c r="C1058" s="2">
        <v>125</v>
      </c>
      <c r="D1058" s="3" t="s">
        <v>127</v>
      </c>
      <c r="E1058" s="3">
        <v>7</v>
      </c>
    </row>
    <row r="1059" spans="1:5" x14ac:dyDescent="0.15">
      <c r="A1059" s="2" t="s">
        <v>4</v>
      </c>
      <c r="B1059" s="2" t="s">
        <v>2</v>
      </c>
      <c r="C1059" s="2">
        <v>125</v>
      </c>
      <c r="D1059" s="3" t="s">
        <v>128</v>
      </c>
      <c r="E1059" s="3">
        <v>7.5</v>
      </c>
    </row>
    <row r="1060" spans="1:5" x14ac:dyDescent="0.15">
      <c r="A1060" s="2" t="s">
        <v>4</v>
      </c>
      <c r="B1060" s="2" t="s">
        <v>2</v>
      </c>
      <c r="C1060" s="2">
        <v>125</v>
      </c>
      <c r="D1060" s="3" t="s">
        <v>102</v>
      </c>
      <c r="E1060" s="3">
        <v>8</v>
      </c>
    </row>
    <row r="1061" spans="1:5" x14ac:dyDescent="0.15">
      <c r="A1061" s="2" t="s">
        <v>4</v>
      </c>
      <c r="B1061" s="2" t="s">
        <v>2</v>
      </c>
      <c r="C1061" s="2">
        <v>125</v>
      </c>
      <c r="D1061" s="3" t="s">
        <v>129</v>
      </c>
      <c r="E1061" s="3">
        <v>8.5</v>
      </c>
    </row>
    <row r="1062" spans="1:5" x14ac:dyDescent="0.15">
      <c r="A1062" s="2" t="s">
        <v>4</v>
      </c>
      <c r="B1062" s="2" t="s">
        <v>2</v>
      </c>
      <c r="C1062" s="2">
        <v>125</v>
      </c>
      <c r="D1062" s="3" t="s">
        <v>130</v>
      </c>
      <c r="E1062" s="3">
        <v>9</v>
      </c>
    </row>
    <row r="1063" spans="1:5" x14ac:dyDescent="0.15">
      <c r="A1063" s="2" t="s">
        <v>4</v>
      </c>
      <c r="B1063" s="2" t="s">
        <v>2</v>
      </c>
      <c r="C1063" s="2">
        <v>125</v>
      </c>
      <c r="D1063" s="3" t="s">
        <v>131</v>
      </c>
      <c r="E1063" s="3">
        <v>9.5</v>
      </c>
    </row>
    <row r="1064" spans="1:5" x14ac:dyDescent="0.15">
      <c r="A1064" s="2" t="s">
        <v>4</v>
      </c>
      <c r="B1064" s="2" t="s">
        <v>2</v>
      </c>
      <c r="C1064" s="2">
        <v>125</v>
      </c>
      <c r="D1064" s="3" t="s">
        <v>104</v>
      </c>
      <c r="E1064" s="3">
        <v>10</v>
      </c>
    </row>
    <row r="1065" spans="1:5" x14ac:dyDescent="0.15">
      <c r="A1065" s="2" t="s">
        <v>4</v>
      </c>
      <c r="B1065" s="2" t="s">
        <v>2</v>
      </c>
      <c r="C1065" s="2">
        <v>125</v>
      </c>
      <c r="D1065" s="3" t="s">
        <v>105</v>
      </c>
      <c r="E1065" s="3">
        <v>11</v>
      </c>
    </row>
    <row r="1066" spans="1:5" x14ac:dyDescent="0.15">
      <c r="A1066" s="2" t="s">
        <v>4</v>
      </c>
      <c r="B1066" s="2" t="s">
        <v>2</v>
      </c>
      <c r="C1066" s="2">
        <v>125</v>
      </c>
      <c r="D1066" s="3" t="s">
        <v>132</v>
      </c>
      <c r="E1066" s="3">
        <v>12</v>
      </c>
    </row>
    <row r="1067" spans="1:5" x14ac:dyDescent="0.15">
      <c r="A1067" s="2" t="s">
        <v>4</v>
      </c>
      <c r="B1067" s="2" t="s">
        <v>2</v>
      </c>
      <c r="C1067" s="2">
        <v>125</v>
      </c>
      <c r="D1067" s="3" t="s">
        <v>133</v>
      </c>
      <c r="E1067" s="3">
        <v>13</v>
      </c>
    </row>
    <row r="1068" spans="1:5" x14ac:dyDescent="0.15">
      <c r="A1068" s="2" t="s">
        <v>4</v>
      </c>
      <c r="B1068" s="2" t="s">
        <v>2</v>
      </c>
      <c r="C1068" s="2">
        <v>125</v>
      </c>
      <c r="D1068" s="3" t="s">
        <v>134</v>
      </c>
      <c r="E1068" s="3">
        <v>14</v>
      </c>
    </row>
    <row r="1069" spans="1:5" x14ac:dyDescent="0.15">
      <c r="A1069" s="2" t="s">
        <v>4</v>
      </c>
      <c r="B1069" s="2" t="s">
        <v>2</v>
      </c>
      <c r="C1069" s="2">
        <v>125</v>
      </c>
      <c r="D1069" s="3" t="s">
        <v>135</v>
      </c>
      <c r="E1069" s="3">
        <v>15</v>
      </c>
    </row>
    <row r="1070" spans="1:5" x14ac:dyDescent="0.15">
      <c r="A1070" s="2" t="s">
        <v>4</v>
      </c>
      <c r="B1070" s="2" t="s">
        <v>2</v>
      </c>
      <c r="C1070" s="2">
        <v>125</v>
      </c>
      <c r="D1070" s="3" t="s">
        <v>108</v>
      </c>
      <c r="E1070" s="3">
        <v>16</v>
      </c>
    </row>
    <row r="1071" spans="1:5" x14ac:dyDescent="0.15">
      <c r="A1071" s="2" t="s">
        <v>4</v>
      </c>
      <c r="B1071" s="2" t="s">
        <v>2</v>
      </c>
      <c r="C1071" s="2">
        <v>125</v>
      </c>
      <c r="D1071" s="3" t="s">
        <v>153</v>
      </c>
      <c r="E1071" s="3">
        <v>17</v>
      </c>
    </row>
    <row r="1072" spans="1:5" x14ac:dyDescent="0.15">
      <c r="A1072" s="2" t="s">
        <v>4</v>
      </c>
      <c r="B1072" s="2" t="s">
        <v>3</v>
      </c>
      <c r="C1072" s="2">
        <v>150</v>
      </c>
      <c r="D1072" s="3" t="s">
        <v>118</v>
      </c>
      <c r="E1072" s="3">
        <v>3</v>
      </c>
    </row>
    <row r="1073" spans="1:5" x14ac:dyDescent="0.15">
      <c r="A1073" s="2" t="s">
        <v>4</v>
      </c>
      <c r="B1073" s="2" t="s">
        <v>2</v>
      </c>
      <c r="C1073" s="2">
        <v>150</v>
      </c>
      <c r="D1073" s="3" t="s">
        <v>120</v>
      </c>
      <c r="E1073" s="3">
        <v>3.5</v>
      </c>
    </row>
    <row r="1074" spans="1:5" x14ac:dyDescent="0.15">
      <c r="A1074" s="2" t="s">
        <v>4</v>
      </c>
      <c r="B1074" s="2" t="s">
        <v>2</v>
      </c>
      <c r="C1074" s="2">
        <v>150</v>
      </c>
      <c r="D1074" s="3" t="s">
        <v>121</v>
      </c>
      <c r="E1074" s="3">
        <v>4</v>
      </c>
    </row>
    <row r="1075" spans="1:5" x14ac:dyDescent="0.15">
      <c r="A1075" s="2" t="s">
        <v>4</v>
      </c>
      <c r="B1075" s="2" t="s">
        <v>2</v>
      </c>
      <c r="C1075" s="2">
        <v>150</v>
      </c>
      <c r="D1075" s="3" t="s">
        <v>122</v>
      </c>
      <c r="E1075" s="3">
        <v>4.5</v>
      </c>
    </row>
    <row r="1076" spans="1:5" x14ac:dyDescent="0.15">
      <c r="A1076" s="2" t="s">
        <v>4</v>
      </c>
      <c r="B1076" s="2" t="s">
        <v>2</v>
      </c>
      <c r="C1076" s="2">
        <v>150</v>
      </c>
      <c r="D1076" s="3" t="s">
        <v>123</v>
      </c>
      <c r="E1076" s="3">
        <v>5</v>
      </c>
    </row>
    <row r="1077" spans="1:5" x14ac:dyDescent="0.15">
      <c r="A1077" s="2" t="s">
        <v>4</v>
      </c>
      <c r="B1077" s="2" t="s">
        <v>2</v>
      </c>
      <c r="C1077" s="2">
        <v>150</v>
      </c>
      <c r="D1077" s="3" t="s">
        <v>124</v>
      </c>
      <c r="E1077" s="3">
        <v>5.5</v>
      </c>
    </row>
    <row r="1078" spans="1:5" x14ac:dyDescent="0.15">
      <c r="A1078" s="2" t="s">
        <v>4</v>
      </c>
      <c r="B1078" s="2" t="s">
        <v>2</v>
      </c>
      <c r="C1078" s="2">
        <v>150</v>
      </c>
      <c r="D1078" s="3" t="s">
        <v>125</v>
      </c>
      <c r="E1078" s="3">
        <v>6</v>
      </c>
    </row>
    <row r="1079" spans="1:5" x14ac:dyDescent="0.15">
      <c r="A1079" s="2" t="s">
        <v>4</v>
      </c>
      <c r="B1079" s="2" t="s">
        <v>2</v>
      </c>
      <c r="C1079" s="2">
        <v>150</v>
      </c>
      <c r="D1079" s="3" t="s">
        <v>126</v>
      </c>
      <c r="E1079" s="3">
        <v>6.5</v>
      </c>
    </row>
    <row r="1080" spans="1:5" x14ac:dyDescent="0.15">
      <c r="A1080" s="2" t="s">
        <v>4</v>
      </c>
      <c r="B1080" s="2" t="s">
        <v>2</v>
      </c>
      <c r="C1080" s="2">
        <v>150</v>
      </c>
      <c r="D1080" s="3" t="s">
        <v>127</v>
      </c>
      <c r="E1080" s="3">
        <v>7</v>
      </c>
    </row>
    <row r="1081" spans="1:5" x14ac:dyDescent="0.15">
      <c r="A1081" s="2" t="s">
        <v>4</v>
      </c>
      <c r="B1081" s="2" t="s">
        <v>2</v>
      </c>
      <c r="C1081" s="2">
        <v>150</v>
      </c>
      <c r="D1081" s="3" t="s">
        <v>128</v>
      </c>
      <c r="E1081" s="3">
        <v>7.5</v>
      </c>
    </row>
    <row r="1082" spans="1:5" x14ac:dyDescent="0.15">
      <c r="A1082" s="2" t="s">
        <v>4</v>
      </c>
      <c r="B1082" s="2" t="s">
        <v>2</v>
      </c>
      <c r="C1082" s="2">
        <v>150</v>
      </c>
      <c r="D1082" s="3" t="s">
        <v>102</v>
      </c>
      <c r="E1082" s="3">
        <v>8</v>
      </c>
    </row>
    <row r="1083" spans="1:5" x14ac:dyDescent="0.15">
      <c r="A1083" s="2" t="s">
        <v>4</v>
      </c>
      <c r="B1083" s="2" t="s">
        <v>2</v>
      </c>
      <c r="C1083" s="2">
        <v>150</v>
      </c>
      <c r="D1083" s="3" t="s">
        <v>129</v>
      </c>
      <c r="E1083" s="3">
        <v>8.5</v>
      </c>
    </row>
    <row r="1084" spans="1:5" x14ac:dyDescent="0.15">
      <c r="A1084" s="2" t="s">
        <v>4</v>
      </c>
      <c r="B1084" s="2" t="s">
        <v>2</v>
      </c>
      <c r="C1084" s="2">
        <v>150</v>
      </c>
      <c r="D1084" s="3" t="s">
        <v>130</v>
      </c>
      <c r="E1084" s="3">
        <v>9</v>
      </c>
    </row>
    <row r="1085" spans="1:5" x14ac:dyDescent="0.15">
      <c r="A1085" s="2" t="s">
        <v>4</v>
      </c>
      <c r="B1085" s="2" t="s">
        <v>2</v>
      </c>
      <c r="C1085" s="2">
        <v>150</v>
      </c>
      <c r="D1085" s="3" t="s">
        <v>131</v>
      </c>
      <c r="E1085" s="3">
        <v>9.5</v>
      </c>
    </row>
    <row r="1086" spans="1:5" x14ac:dyDescent="0.15">
      <c r="A1086" s="2" t="s">
        <v>4</v>
      </c>
      <c r="B1086" s="2" t="s">
        <v>2</v>
      </c>
      <c r="C1086" s="2">
        <v>150</v>
      </c>
      <c r="D1086" s="3" t="s">
        <v>104</v>
      </c>
      <c r="E1086" s="3">
        <v>10</v>
      </c>
    </row>
    <row r="1087" spans="1:5" x14ac:dyDescent="0.15">
      <c r="A1087" s="2" t="s">
        <v>4</v>
      </c>
      <c r="B1087" s="2" t="s">
        <v>2</v>
      </c>
      <c r="C1087" s="2">
        <v>150</v>
      </c>
      <c r="D1087" s="3" t="s">
        <v>105</v>
      </c>
      <c r="E1087" s="3">
        <v>11</v>
      </c>
    </row>
    <row r="1088" spans="1:5" x14ac:dyDescent="0.15">
      <c r="A1088" s="2" t="s">
        <v>4</v>
      </c>
      <c r="B1088" s="2" t="s">
        <v>2</v>
      </c>
      <c r="C1088" s="2">
        <v>150</v>
      </c>
      <c r="D1088" s="3" t="s">
        <v>132</v>
      </c>
      <c r="E1088" s="3">
        <v>12</v>
      </c>
    </row>
    <row r="1089" spans="1:5" x14ac:dyDescent="0.15">
      <c r="A1089" s="2" t="s">
        <v>4</v>
      </c>
      <c r="B1089" s="2" t="s">
        <v>2</v>
      </c>
      <c r="C1089" s="2">
        <v>150</v>
      </c>
      <c r="D1089" s="3" t="s">
        <v>133</v>
      </c>
      <c r="E1089" s="3">
        <v>13</v>
      </c>
    </row>
    <row r="1090" spans="1:5" x14ac:dyDescent="0.15">
      <c r="A1090" s="2" t="s">
        <v>4</v>
      </c>
      <c r="B1090" s="2" t="s">
        <v>2</v>
      </c>
      <c r="C1090" s="2">
        <v>150</v>
      </c>
      <c r="D1090" s="3" t="s">
        <v>134</v>
      </c>
      <c r="E1090" s="3">
        <v>14</v>
      </c>
    </row>
    <row r="1091" spans="1:5" x14ac:dyDescent="0.15">
      <c r="A1091" s="2" t="s">
        <v>4</v>
      </c>
      <c r="B1091" s="2" t="s">
        <v>2</v>
      </c>
      <c r="C1091" s="2">
        <v>150</v>
      </c>
      <c r="D1091" s="3" t="s">
        <v>135</v>
      </c>
      <c r="E1091" s="3">
        <v>15</v>
      </c>
    </row>
    <row r="1092" spans="1:5" x14ac:dyDescent="0.15">
      <c r="A1092" s="2" t="s">
        <v>4</v>
      </c>
      <c r="B1092" s="2" t="s">
        <v>2</v>
      </c>
      <c r="C1092" s="2">
        <v>150</v>
      </c>
      <c r="D1092" s="3" t="s">
        <v>108</v>
      </c>
      <c r="E1092" s="3">
        <v>16</v>
      </c>
    </row>
    <row r="1093" spans="1:5" x14ac:dyDescent="0.15">
      <c r="A1093" s="2" t="s">
        <v>4</v>
      </c>
      <c r="B1093" s="2" t="s">
        <v>2</v>
      </c>
      <c r="C1093" s="2">
        <v>150</v>
      </c>
      <c r="D1093" s="3" t="s">
        <v>153</v>
      </c>
      <c r="E1093" s="3">
        <v>17</v>
      </c>
    </row>
    <row r="1094" spans="1:5" x14ac:dyDescent="0.15">
      <c r="A1094" s="2" t="s">
        <v>4</v>
      </c>
      <c r="B1094" s="2" t="s">
        <v>2</v>
      </c>
      <c r="C1094" s="2">
        <v>150</v>
      </c>
      <c r="D1094" s="3" t="s">
        <v>136</v>
      </c>
      <c r="E1094" s="3">
        <v>18</v>
      </c>
    </row>
    <row r="1095" spans="1:5" x14ac:dyDescent="0.15">
      <c r="A1095" s="2" t="s">
        <v>4</v>
      </c>
      <c r="B1095" s="2" t="s">
        <v>2</v>
      </c>
      <c r="C1095" s="2">
        <v>150</v>
      </c>
      <c r="D1095" s="3" t="s">
        <v>154</v>
      </c>
      <c r="E1095" s="3">
        <v>19</v>
      </c>
    </row>
    <row r="1096" spans="1:5" x14ac:dyDescent="0.15">
      <c r="A1096" s="2" t="s">
        <v>4</v>
      </c>
      <c r="B1096" s="2" t="s">
        <v>2</v>
      </c>
      <c r="C1096" s="2">
        <v>150</v>
      </c>
      <c r="D1096" s="3" t="s">
        <v>110</v>
      </c>
      <c r="E1096" s="3">
        <v>20</v>
      </c>
    </row>
    <row r="1097" spans="1:5" x14ac:dyDescent="0.15">
      <c r="A1097" s="2" t="s">
        <v>4</v>
      </c>
      <c r="B1097" s="2" t="s">
        <v>2</v>
      </c>
      <c r="C1097" s="2">
        <v>200</v>
      </c>
      <c r="D1097" s="3" t="s">
        <v>118</v>
      </c>
      <c r="E1097" s="3">
        <v>3</v>
      </c>
    </row>
    <row r="1098" spans="1:5" x14ac:dyDescent="0.15">
      <c r="A1098" s="2" t="s">
        <v>4</v>
      </c>
      <c r="B1098" s="2" t="s">
        <v>2</v>
      </c>
      <c r="C1098" s="2">
        <v>200</v>
      </c>
      <c r="D1098" s="3" t="s">
        <v>120</v>
      </c>
      <c r="E1098" s="3">
        <v>3.5</v>
      </c>
    </row>
    <row r="1099" spans="1:5" x14ac:dyDescent="0.15">
      <c r="A1099" s="2" t="s">
        <v>4</v>
      </c>
      <c r="B1099" s="2" t="s">
        <v>2</v>
      </c>
      <c r="C1099" s="2">
        <v>200</v>
      </c>
      <c r="D1099" s="3" t="s">
        <v>121</v>
      </c>
      <c r="E1099" s="3">
        <v>4</v>
      </c>
    </row>
    <row r="1100" spans="1:5" x14ac:dyDescent="0.15">
      <c r="A1100" s="2" t="s">
        <v>4</v>
      </c>
      <c r="B1100" s="2" t="s">
        <v>2</v>
      </c>
      <c r="C1100" s="2">
        <v>200</v>
      </c>
      <c r="D1100" s="3" t="s">
        <v>122</v>
      </c>
      <c r="E1100" s="3">
        <v>4.5</v>
      </c>
    </row>
    <row r="1101" spans="1:5" x14ac:dyDescent="0.15">
      <c r="A1101" s="2" t="s">
        <v>4</v>
      </c>
      <c r="B1101" s="2" t="s">
        <v>2</v>
      </c>
      <c r="C1101" s="2">
        <v>200</v>
      </c>
      <c r="D1101" s="3" t="s">
        <v>123</v>
      </c>
      <c r="E1101" s="3">
        <v>5</v>
      </c>
    </row>
    <row r="1102" spans="1:5" x14ac:dyDescent="0.15">
      <c r="A1102" s="2" t="s">
        <v>4</v>
      </c>
      <c r="B1102" s="2" t="s">
        <v>2</v>
      </c>
      <c r="C1102" s="2">
        <v>200</v>
      </c>
      <c r="D1102" s="3" t="s">
        <v>125</v>
      </c>
      <c r="E1102" s="3">
        <v>6</v>
      </c>
    </row>
    <row r="1103" spans="1:5" x14ac:dyDescent="0.15">
      <c r="A1103" s="2" t="s">
        <v>4</v>
      </c>
      <c r="B1103" s="2" t="s">
        <v>2</v>
      </c>
      <c r="C1103" s="2">
        <v>200</v>
      </c>
      <c r="D1103" s="3" t="s">
        <v>126</v>
      </c>
      <c r="E1103" s="3">
        <v>6.5</v>
      </c>
    </row>
    <row r="1104" spans="1:5" x14ac:dyDescent="0.15">
      <c r="A1104" s="2" t="s">
        <v>4</v>
      </c>
      <c r="B1104" s="2" t="s">
        <v>2</v>
      </c>
      <c r="C1104" s="2">
        <v>200</v>
      </c>
      <c r="D1104" s="3" t="s">
        <v>127</v>
      </c>
      <c r="E1104" s="3">
        <v>7</v>
      </c>
    </row>
    <row r="1105" spans="1:5" x14ac:dyDescent="0.15">
      <c r="A1105" s="2" t="s">
        <v>4</v>
      </c>
      <c r="B1105" s="2" t="s">
        <v>2</v>
      </c>
      <c r="C1105" s="2">
        <v>200</v>
      </c>
      <c r="D1105" s="3" t="s">
        <v>128</v>
      </c>
      <c r="E1105" s="3">
        <v>7.5</v>
      </c>
    </row>
    <row r="1106" spans="1:5" x14ac:dyDescent="0.15">
      <c r="A1106" s="2" t="s">
        <v>4</v>
      </c>
      <c r="B1106" s="2" t="s">
        <v>2</v>
      </c>
      <c r="C1106" s="2">
        <v>200</v>
      </c>
      <c r="D1106" s="3" t="s">
        <v>102</v>
      </c>
      <c r="E1106" s="3">
        <v>8</v>
      </c>
    </row>
    <row r="1107" spans="1:5" x14ac:dyDescent="0.15">
      <c r="A1107" s="2" t="s">
        <v>4</v>
      </c>
      <c r="B1107" s="2" t="s">
        <v>2</v>
      </c>
      <c r="C1107" s="2">
        <v>200</v>
      </c>
      <c r="D1107" s="3" t="s">
        <v>129</v>
      </c>
      <c r="E1107" s="3">
        <v>8.5</v>
      </c>
    </row>
    <row r="1108" spans="1:5" x14ac:dyDescent="0.15">
      <c r="A1108" s="2" t="s">
        <v>4</v>
      </c>
      <c r="B1108" s="2" t="s">
        <v>2</v>
      </c>
      <c r="C1108" s="2">
        <v>200</v>
      </c>
      <c r="D1108" s="3" t="s">
        <v>130</v>
      </c>
      <c r="E1108" s="3">
        <v>9</v>
      </c>
    </row>
    <row r="1109" spans="1:5" x14ac:dyDescent="0.15">
      <c r="A1109" s="2" t="s">
        <v>4</v>
      </c>
      <c r="B1109" s="2" t="s">
        <v>2</v>
      </c>
      <c r="C1109" s="2">
        <v>200</v>
      </c>
      <c r="D1109" s="3" t="s">
        <v>131</v>
      </c>
      <c r="E1109" s="3">
        <v>9.5</v>
      </c>
    </row>
    <row r="1110" spans="1:5" x14ac:dyDescent="0.15">
      <c r="A1110" s="2" t="s">
        <v>4</v>
      </c>
      <c r="B1110" s="2" t="s">
        <v>2</v>
      </c>
      <c r="C1110" s="2">
        <v>200</v>
      </c>
      <c r="D1110" s="3" t="s">
        <v>104</v>
      </c>
      <c r="E1110" s="3">
        <v>10</v>
      </c>
    </row>
    <row r="1111" spans="1:5" x14ac:dyDescent="0.15">
      <c r="A1111" s="2" t="s">
        <v>4</v>
      </c>
      <c r="B1111" s="2" t="s">
        <v>2</v>
      </c>
      <c r="C1111" s="2">
        <v>200</v>
      </c>
      <c r="D1111" s="3" t="s">
        <v>105</v>
      </c>
      <c r="E1111" s="3">
        <v>11</v>
      </c>
    </row>
    <row r="1112" spans="1:5" x14ac:dyDescent="0.15">
      <c r="A1112" s="2" t="s">
        <v>4</v>
      </c>
      <c r="B1112" s="2" t="s">
        <v>2</v>
      </c>
      <c r="C1112" s="2">
        <v>200</v>
      </c>
      <c r="D1112" s="3" t="s">
        <v>132</v>
      </c>
      <c r="E1112" s="3">
        <v>12</v>
      </c>
    </row>
    <row r="1113" spans="1:5" x14ac:dyDescent="0.15">
      <c r="A1113" s="2" t="s">
        <v>4</v>
      </c>
      <c r="B1113" s="2" t="s">
        <v>2</v>
      </c>
      <c r="C1113" s="2">
        <v>200</v>
      </c>
      <c r="D1113" s="3" t="s">
        <v>133</v>
      </c>
      <c r="E1113" s="3">
        <v>13</v>
      </c>
    </row>
    <row r="1114" spans="1:5" x14ac:dyDescent="0.15">
      <c r="A1114" s="2" t="s">
        <v>4</v>
      </c>
      <c r="B1114" s="2" t="s">
        <v>2</v>
      </c>
      <c r="C1114" s="2">
        <v>200</v>
      </c>
      <c r="D1114" s="3" t="s">
        <v>134</v>
      </c>
      <c r="E1114" s="3">
        <v>14</v>
      </c>
    </row>
    <row r="1115" spans="1:5" x14ac:dyDescent="0.15">
      <c r="A1115" s="2" t="s">
        <v>4</v>
      </c>
      <c r="B1115" s="2" t="s">
        <v>2</v>
      </c>
      <c r="C1115" s="2">
        <v>200</v>
      </c>
      <c r="D1115" s="3" t="s">
        <v>135</v>
      </c>
      <c r="E1115" s="3">
        <v>15</v>
      </c>
    </row>
    <row r="1116" spans="1:5" x14ac:dyDescent="0.15">
      <c r="A1116" s="2" t="s">
        <v>4</v>
      </c>
      <c r="B1116" s="2" t="s">
        <v>2</v>
      </c>
      <c r="C1116" s="2">
        <v>200</v>
      </c>
      <c r="D1116" s="3" t="s">
        <v>108</v>
      </c>
      <c r="E1116" s="3">
        <v>16</v>
      </c>
    </row>
    <row r="1117" spans="1:5" x14ac:dyDescent="0.15">
      <c r="A1117" s="2" t="s">
        <v>4</v>
      </c>
      <c r="B1117" s="2" t="s">
        <v>2</v>
      </c>
      <c r="C1117" s="2">
        <v>200</v>
      </c>
      <c r="D1117" s="3" t="s">
        <v>153</v>
      </c>
      <c r="E1117" s="3">
        <v>17</v>
      </c>
    </row>
    <row r="1118" spans="1:5" x14ac:dyDescent="0.15">
      <c r="A1118" s="2" t="s">
        <v>4</v>
      </c>
      <c r="B1118" s="2" t="s">
        <v>2</v>
      </c>
      <c r="C1118" s="2">
        <v>200</v>
      </c>
      <c r="D1118" s="3" t="s">
        <v>136</v>
      </c>
      <c r="E1118" s="3">
        <v>18</v>
      </c>
    </row>
    <row r="1119" spans="1:5" x14ac:dyDescent="0.15">
      <c r="A1119" s="2" t="s">
        <v>4</v>
      </c>
      <c r="B1119" s="2" t="s">
        <v>2</v>
      </c>
      <c r="C1119" s="2">
        <v>200</v>
      </c>
      <c r="D1119" s="3" t="s">
        <v>154</v>
      </c>
      <c r="E1119" s="3">
        <v>19</v>
      </c>
    </row>
    <row r="1120" spans="1:5" x14ac:dyDescent="0.15">
      <c r="A1120" s="2" t="s">
        <v>4</v>
      </c>
      <c r="B1120" s="2" t="s">
        <v>2</v>
      </c>
      <c r="C1120" s="2">
        <v>200</v>
      </c>
      <c r="D1120" s="3" t="s">
        <v>110</v>
      </c>
      <c r="E1120" s="3">
        <v>20</v>
      </c>
    </row>
    <row r="1121" spans="1:5" x14ac:dyDescent="0.15">
      <c r="A1121" s="2" t="s">
        <v>4</v>
      </c>
      <c r="B1121" s="2" t="s">
        <v>2</v>
      </c>
      <c r="C1121" s="2">
        <v>200</v>
      </c>
      <c r="D1121" s="3" t="s">
        <v>137</v>
      </c>
      <c r="E1121" s="3">
        <v>22</v>
      </c>
    </row>
    <row r="1122" spans="1:5" x14ac:dyDescent="0.15">
      <c r="A1122" s="2" t="s">
        <v>4</v>
      </c>
      <c r="B1122" s="2" t="s">
        <v>3</v>
      </c>
      <c r="C1122" s="2">
        <v>250</v>
      </c>
      <c r="D1122" s="3" t="s">
        <v>118</v>
      </c>
      <c r="E1122" s="3">
        <v>3</v>
      </c>
    </row>
    <row r="1123" spans="1:5" x14ac:dyDescent="0.15">
      <c r="A1123" s="2" t="s">
        <v>4</v>
      </c>
      <c r="B1123" s="2" t="s">
        <v>2</v>
      </c>
      <c r="C1123" s="2">
        <v>250</v>
      </c>
      <c r="D1123" s="3" t="s">
        <v>120</v>
      </c>
      <c r="E1123" s="3">
        <v>3.5</v>
      </c>
    </row>
    <row r="1124" spans="1:5" x14ac:dyDescent="0.15">
      <c r="A1124" s="2" t="s">
        <v>4</v>
      </c>
      <c r="B1124" s="2" t="s">
        <v>2</v>
      </c>
      <c r="C1124" s="2">
        <v>250</v>
      </c>
      <c r="D1124" s="3" t="s">
        <v>121</v>
      </c>
      <c r="E1124" s="3">
        <v>4</v>
      </c>
    </row>
    <row r="1125" spans="1:5" x14ac:dyDescent="0.15">
      <c r="A1125" s="2" t="s">
        <v>4</v>
      </c>
      <c r="B1125" s="2" t="s">
        <v>2</v>
      </c>
      <c r="C1125" s="2">
        <v>250</v>
      </c>
      <c r="D1125" s="3" t="s">
        <v>122</v>
      </c>
      <c r="E1125" s="3">
        <v>4.5</v>
      </c>
    </row>
    <row r="1126" spans="1:5" x14ac:dyDescent="0.15">
      <c r="A1126" s="2" t="s">
        <v>4</v>
      </c>
      <c r="B1126" s="2" t="s">
        <v>2</v>
      </c>
      <c r="C1126" s="2">
        <v>250</v>
      </c>
      <c r="D1126" s="3" t="s">
        <v>123</v>
      </c>
      <c r="E1126" s="3">
        <v>5</v>
      </c>
    </row>
    <row r="1127" spans="1:5" x14ac:dyDescent="0.15">
      <c r="A1127" s="2" t="s">
        <v>4</v>
      </c>
      <c r="B1127" s="2" t="s">
        <v>2</v>
      </c>
      <c r="C1127" s="2">
        <v>250</v>
      </c>
      <c r="D1127" s="3" t="s">
        <v>125</v>
      </c>
      <c r="E1127" s="3">
        <v>6</v>
      </c>
    </row>
    <row r="1128" spans="1:5" x14ac:dyDescent="0.15">
      <c r="A1128" s="2" t="s">
        <v>4</v>
      </c>
      <c r="B1128" s="2" t="s">
        <v>2</v>
      </c>
      <c r="C1128" s="2">
        <v>250</v>
      </c>
      <c r="D1128" s="3" t="s">
        <v>126</v>
      </c>
      <c r="E1128" s="3">
        <v>6.5</v>
      </c>
    </row>
    <row r="1129" spans="1:5" x14ac:dyDescent="0.15">
      <c r="A1129" s="2" t="s">
        <v>4</v>
      </c>
      <c r="B1129" s="2" t="s">
        <v>2</v>
      </c>
      <c r="C1129" s="2">
        <v>250</v>
      </c>
      <c r="D1129" s="3" t="s">
        <v>127</v>
      </c>
      <c r="E1129" s="3">
        <v>7</v>
      </c>
    </row>
    <row r="1130" spans="1:5" x14ac:dyDescent="0.15">
      <c r="A1130" s="2" t="s">
        <v>4</v>
      </c>
      <c r="B1130" s="2" t="s">
        <v>2</v>
      </c>
      <c r="C1130" s="2">
        <v>250</v>
      </c>
      <c r="D1130" s="3" t="s">
        <v>128</v>
      </c>
      <c r="E1130" s="3">
        <v>7.5</v>
      </c>
    </row>
    <row r="1131" spans="1:5" x14ac:dyDescent="0.15">
      <c r="A1131" s="2" t="s">
        <v>4</v>
      </c>
      <c r="B1131" s="2" t="s">
        <v>2</v>
      </c>
      <c r="C1131" s="2">
        <v>250</v>
      </c>
      <c r="D1131" s="3" t="s">
        <v>102</v>
      </c>
      <c r="E1131" s="3">
        <v>8</v>
      </c>
    </row>
    <row r="1132" spans="1:5" x14ac:dyDescent="0.15">
      <c r="A1132" s="2" t="s">
        <v>4</v>
      </c>
      <c r="B1132" s="2" t="s">
        <v>2</v>
      </c>
      <c r="C1132" s="2">
        <v>250</v>
      </c>
      <c r="D1132" s="3" t="s">
        <v>129</v>
      </c>
      <c r="E1132" s="3">
        <v>8.5</v>
      </c>
    </row>
    <row r="1133" spans="1:5" x14ac:dyDescent="0.15">
      <c r="A1133" s="2" t="s">
        <v>4</v>
      </c>
      <c r="B1133" s="2" t="s">
        <v>2</v>
      </c>
      <c r="C1133" s="2">
        <v>250</v>
      </c>
      <c r="D1133" s="3" t="s">
        <v>130</v>
      </c>
      <c r="E1133" s="3">
        <v>9</v>
      </c>
    </row>
    <row r="1134" spans="1:5" x14ac:dyDescent="0.15">
      <c r="A1134" s="2" t="s">
        <v>4</v>
      </c>
      <c r="B1134" s="2" t="s">
        <v>2</v>
      </c>
      <c r="C1134" s="2">
        <v>250</v>
      </c>
      <c r="D1134" s="3" t="s">
        <v>131</v>
      </c>
      <c r="E1134" s="3">
        <v>9.5</v>
      </c>
    </row>
    <row r="1135" spans="1:5" x14ac:dyDescent="0.15">
      <c r="A1135" s="2" t="s">
        <v>4</v>
      </c>
      <c r="B1135" s="2" t="s">
        <v>2</v>
      </c>
      <c r="C1135" s="2">
        <v>250</v>
      </c>
      <c r="D1135" s="3" t="s">
        <v>104</v>
      </c>
      <c r="E1135" s="3">
        <v>10</v>
      </c>
    </row>
    <row r="1136" spans="1:5" x14ac:dyDescent="0.15">
      <c r="A1136" s="2" t="s">
        <v>4</v>
      </c>
      <c r="B1136" s="2" t="s">
        <v>2</v>
      </c>
      <c r="C1136" s="2">
        <v>250</v>
      </c>
      <c r="D1136" s="3" t="s">
        <v>105</v>
      </c>
      <c r="E1136" s="3">
        <v>11</v>
      </c>
    </row>
    <row r="1137" spans="1:5" x14ac:dyDescent="0.15">
      <c r="A1137" s="2" t="s">
        <v>4</v>
      </c>
      <c r="B1137" s="2" t="s">
        <v>2</v>
      </c>
      <c r="C1137" s="2">
        <v>250</v>
      </c>
      <c r="D1137" s="3" t="s">
        <v>132</v>
      </c>
      <c r="E1137" s="3">
        <v>12</v>
      </c>
    </row>
    <row r="1138" spans="1:5" x14ac:dyDescent="0.15">
      <c r="A1138" s="2" t="s">
        <v>4</v>
      </c>
      <c r="B1138" s="2" t="s">
        <v>2</v>
      </c>
      <c r="C1138" s="2">
        <v>250</v>
      </c>
      <c r="D1138" s="3" t="s">
        <v>133</v>
      </c>
      <c r="E1138" s="3">
        <v>13</v>
      </c>
    </row>
    <row r="1139" spans="1:5" x14ac:dyDescent="0.15">
      <c r="A1139" s="2" t="s">
        <v>4</v>
      </c>
      <c r="B1139" s="2" t="s">
        <v>2</v>
      </c>
      <c r="C1139" s="2">
        <v>250</v>
      </c>
      <c r="D1139" s="3" t="s">
        <v>134</v>
      </c>
      <c r="E1139" s="3">
        <v>14</v>
      </c>
    </row>
    <row r="1140" spans="1:5" x14ac:dyDescent="0.15">
      <c r="A1140" s="2" t="s">
        <v>4</v>
      </c>
      <c r="B1140" s="2" t="s">
        <v>2</v>
      </c>
      <c r="C1140" s="2">
        <v>250</v>
      </c>
      <c r="D1140" s="3" t="s">
        <v>135</v>
      </c>
      <c r="E1140" s="3">
        <v>15</v>
      </c>
    </row>
    <row r="1141" spans="1:5" x14ac:dyDescent="0.15">
      <c r="A1141" s="2" t="s">
        <v>4</v>
      </c>
      <c r="B1141" s="2" t="s">
        <v>2</v>
      </c>
      <c r="C1141" s="2">
        <v>250</v>
      </c>
      <c r="D1141" s="3" t="s">
        <v>108</v>
      </c>
      <c r="E1141" s="3">
        <v>16</v>
      </c>
    </row>
    <row r="1142" spans="1:5" x14ac:dyDescent="0.15">
      <c r="A1142" s="2" t="s">
        <v>4</v>
      </c>
      <c r="B1142" s="2" t="s">
        <v>2</v>
      </c>
      <c r="C1142" s="2">
        <v>250</v>
      </c>
      <c r="D1142" s="3" t="s">
        <v>153</v>
      </c>
      <c r="E1142" s="3">
        <v>17</v>
      </c>
    </row>
    <row r="1143" spans="1:5" x14ac:dyDescent="0.15">
      <c r="A1143" s="2" t="s">
        <v>4</v>
      </c>
      <c r="B1143" s="2" t="s">
        <v>2</v>
      </c>
      <c r="C1143" s="2">
        <v>250</v>
      </c>
      <c r="D1143" s="3" t="s">
        <v>136</v>
      </c>
      <c r="E1143" s="3">
        <v>18</v>
      </c>
    </row>
    <row r="1144" spans="1:5" x14ac:dyDescent="0.15">
      <c r="A1144" s="2" t="s">
        <v>4</v>
      </c>
      <c r="B1144" s="2" t="s">
        <v>2</v>
      </c>
      <c r="C1144" s="2">
        <v>250</v>
      </c>
      <c r="D1144" s="3" t="s">
        <v>154</v>
      </c>
      <c r="E1144" s="3">
        <v>19</v>
      </c>
    </row>
    <row r="1145" spans="1:5" x14ac:dyDescent="0.15">
      <c r="A1145" s="2" t="s">
        <v>4</v>
      </c>
      <c r="B1145" s="2" t="s">
        <v>2</v>
      </c>
      <c r="C1145" s="2">
        <v>250</v>
      </c>
      <c r="D1145" s="3" t="s">
        <v>110</v>
      </c>
      <c r="E1145" s="3">
        <v>20</v>
      </c>
    </row>
    <row r="1146" spans="1:5" x14ac:dyDescent="0.15">
      <c r="A1146" s="2" t="s">
        <v>4</v>
      </c>
      <c r="B1146" s="2" t="s">
        <v>2</v>
      </c>
      <c r="C1146" s="2">
        <v>250</v>
      </c>
      <c r="D1146" s="3" t="s">
        <v>137</v>
      </c>
      <c r="E1146" s="3">
        <v>22</v>
      </c>
    </row>
    <row r="1147" spans="1:5" x14ac:dyDescent="0.15">
      <c r="A1147" s="2" t="s">
        <v>4</v>
      </c>
      <c r="B1147" s="2" t="s">
        <v>2</v>
      </c>
      <c r="C1147" s="2">
        <v>250</v>
      </c>
      <c r="D1147" s="3" t="s">
        <v>138</v>
      </c>
      <c r="E1147" s="3">
        <v>24</v>
      </c>
    </row>
    <row r="1148" spans="1:5" x14ac:dyDescent="0.15">
      <c r="A1148" s="2" t="s">
        <v>4</v>
      </c>
      <c r="B1148" s="2" t="s">
        <v>2</v>
      </c>
      <c r="C1148" s="2">
        <v>300</v>
      </c>
      <c r="D1148" s="3" t="s">
        <v>120</v>
      </c>
      <c r="E1148" s="3">
        <v>3.5</v>
      </c>
    </row>
    <row r="1149" spans="1:5" x14ac:dyDescent="0.15">
      <c r="A1149" s="2" t="s">
        <v>4</v>
      </c>
      <c r="B1149" s="2" t="s">
        <v>2</v>
      </c>
      <c r="C1149" s="2">
        <v>300</v>
      </c>
      <c r="D1149" s="3" t="s">
        <v>121</v>
      </c>
      <c r="E1149" s="3">
        <v>4</v>
      </c>
    </row>
    <row r="1150" spans="1:5" x14ac:dyDescent="0.15">
      <c r="A1150" s="2" t="s">
        <v>4</v>
      </c>
      <c r="B1150" s="2" t="s">
        <v>2</v>
      </c>
      <c r="C1150" s="2">
        <v>300</v>
      </c>
      <c r="D1150" s="3" t="s">
        <v>122</v>
      </c>
      <c r="E1150" s="3">
        <v>4.5</v>
      </c>
    </row>
    <row r="1151" spans="1:5" x14ac:dyDescent="0.15">
      <c r="A1151" s="2" t="s">
        <v>4</v>
      </c>
      <c r="B1151" s="2" t="s">
        <v>2</v>
      </c>
      <c r="C1151" s="2">
        <v>300</v>
      </c>
      <c r="D1151" s="3" t="s">
        <v>123</v>
      </c>
      <c r="E1151" s="3">
        <v>5</v>
      </c>
    </row>
    <row r="1152" spans="1:5" x14ac:dyDescent="0.15">
      <c r="A1152" s="2" t="s">
        <v>4</v>
      </c>
      <c r="B1152" s="2" t="s">
        <v>2</v>
      </c>
      <c r="C1152" s="2">
        <v>300</v>
      </c>
      <c r="D1152" s="3" t="s">
        <v>125</v>
      </c>
      <c r="E1152" s="3">
        <v>6</v>
      </c>
    </row>
    <row r="1153" spans="1:5" x14ac:dyDescent="0.15">
      <c r="A1153" s="2" t="s">
        <v>4</v>
      </c>
      <c r="B1153" s="2" t="s">
        <v>2</v>
      </c>
      <c r="C1153" s="2">
        <v>300</v>
      </c>
      <c r="D1153" s="3" t="s">
        <v>127</v>
      </c>
      <c r="E1153" s="3">
        <v>7</v>
      </c>
    </row>
    <row r="1154" spans="1:5" x14ac:dyDescent="0.15">
      <c r="A1154" s="2" t="s">
        <v>4</v>
      </c>
      <c r="B1154" s="2" t="s">
        <v>2</v>
      </c>
      <c r="C1154" s="2">
        <v>300</v>
      </c>
      <c r="D1154" s="3" t="s">
        <v>128</v>
      </c>
      <c r="E1154" s="3">
        <v>7.5</v>
      </c>
    </row>
    <row r="1155" spans="1:5" x14ac:dyDescent="0.15">
      <c r="A1155" s="2" t="s">
        <v>4</v>
      </c>
      <c r="B1155" s="2" t="s">
        <v>2</v>
      </c>
      <c r="C1155" s="2">
        <v>300</v>
      </c>
      <c r="D1155" s="3" t="s">
        <v>102</v>
      </c>
      <c r="E1155" s="3">
        <v>8</v>
      </c>
    </row>
    <row r="1156" spans="1:5" x14ac:dyDescent="0.15">
      <c r="A1156" s="2" t="s">
        <v>4</v>
      </c>
      <c r="B1156" s="2" t="s">
        <v>2</v>
      </c>
      <c r="C1156" s="2">
        <v>300</v>
      </c>
      <c r="D1156" s="3" t="s">
        <v>129</v>
      </c>
      <c r="E1156" s="3">
        <v>8.5</v>
      </c>
    </row>
    <row r="1157" spans="1:5" x14ac:dyDescent="0.15">
      <c r="A1157" s="2" t="s">
        <v>4</v>
      </c>
      <c r="B1157" s="2" t="s">
        <v>2</v>
      </c>
      <c r="C1157" s="2">
        <v>300</v>
      </c>
      <c r="D1157" s="3" t="s">
        <v>130</v>
      </c>
      <c r="E1157" s="3">
        <v>9</v>
      </c>
    </row>
    <row r="1158" spans="1:5" x14ac:dyDescent="0.15">
      <c r="A1158" s="2" t="s">
        <v>4</v>
      </c>
      <c r="B1158" s="2" t="s">
        <v>2</v>
      </c>
      <c r="C1158" s="2">
        <v>300</v>
      </c>
      <c r="D1158" s="3" t="s">
        <v>131</v>
      </c>
      <c r="E1158" s="3">
        <v>9.5</v>
      </c>
    </row>
    <row r="1159" spans="1:5" x14ac:dyDescent="0.15">
      <c r="A1159" s="2" t="s">
        <v>4</v>
      </c>
      <c r="B1159" s="2" t="s">
        <v>2</v>
      </c>
      <c r="C1159" s="2">
        <v>300</v>
      </c>
      <c r="D1159" s="3" t="s">
        <v>104</v>
      </c>
      <c r="E1159" s="3">
        <v>10</v>
      </c>
    </row>
    <row r="1160" spans="1:5" x14ac:dyDescent="0.15">
      <c r="A1160" s="2" t="s">
        <v>4</v>
      </c>
      <c r="B1160" s="2" t="s">
        <v>2</v>
      </c>
      <c r="C1160" s="2">
        <v>300</v>
      </c>
      <c r="D1160" s="3" t="s">
        <v>105</v>
      </c>
      <c r="E1160" s="3">
        <v>11</v>
      </c>
    </row>
    <row r="1161" spans="1:5" x14ac:dyDescent="0.15">
      <c r="A1161" s="2" t="s">
        <v>4</v>
      </c>
      <c r="B1161" s="2" t="s">
        <v>2</v>
      </c>
      <c r="C1161" s="2">
        <v>300</v>
      </c>
      <c r="D1161" s="3" t="s">
        <v>132</v>
      </c>
      <c r="E1161" s="3">
        <v>12</v>
      </c>
    </row>
    <row r="1162" spans="1:5" x14ac:dyDescent="0.15">
      <c r="A1162" s="2" t="s">
        <v>4</v>
      </c>
      <c r="B1162" s="2" t="s">
        <v>2</v>
      </c>
      <c r="C1162" s="2">
        <v>300</v>
      </c>
      <c r="D1162" s="3" t="s">
        <v>133</v>
      </c>
      <c r="E1162" s="3">
        <v>13</v>
      </c>
    </row>
    <row r="1163" spans="1:5" x14ac:dyDescent="0.15">
      <c r="A1163" s="2" t="s">
        <v>4</v>
      </c>
      <c r="B1163" s="2" t="s">
        <v>2</v>
      </c>
      <c r="C1163" s="2">
        <v>300</v>
      </c>
      <c r="D1163" s="3" t="s">
        <v>134</v>
      </c>
      <c r="E1163" s="3">
        <v>14</v>
      </c>
    </row>
    <row r="1164" spans="1:5" x14ac:dyDescent="0.15">
      <c r="A1164" s="2" t="s">
        <v>4</v>
      </c>
      <c r="B1164" s="2" t="s">
        <v>2</v>
      </c>
      <c r="C1164" s="2">
        <v>300</v>
      </c>
      <c r="D1164" s="3" t="s">
        <v>135</v>
      </c>
      <c r="E1164" s="3">
        <v>15</v>
      </c>
    </row>
    <row r="1165" spans="1:5" x14ac:dyDescent="0.15">
      <c r="A1165" s="2" t="s">
        <v>4</v>
      </c>
      <c r="B1165" s="2" t="s">
        <v>2</v>
      </c>
      <c r="C1165" s="2">
        <v>300</v>
      </c>
      <c r="D1165" s="3" t="s">
        <v>108</v>
      </c>
      <c r="E1165" s="3">
        <v>16</v>
      </c>
    </row>
    <row r="1166" spans="1:5" x14ac:dyDescent="0.15">
      <c r="A1166" s="2" t="s">
        <v>4</v>
      </c>
      <c r="B1166" s="2" t="s">
        <v>2</v>
      </c>
      <c r="C1166" s="2">
        <v>300</v>
      </c>
      <c r="D1166" s="3" t="s">
        <v>153</v>
      </c>
      <c r="E1166" s="3">
        <v>17</v>
      </c>
    </row>
    <row r="1167" spans="1:5" x14ac:dyDescent="0.15">
      <c r="A1167" s="2" t="s">
        <v>4</v>
      </c>
      <c r="B1167" s="2" t="s">
        <v>2</v>
      </c>
      <c r="C1167" s="2">
        <v>300</v>
      </c>
      <c r="D1167" s="3" t="s">
        <v>136</v>
      </c>
      <c r="E1167" s="3">
        <v>18</v>
      </c>
    </row>
    <row r="1168" spans="1:5" x14ac:dyDescent="0.15">
      <c r="A1168" s="2" t="s">
        <v>4</v>
      </c>
      <c r="B1168" s="2" t="s">
        <v>2</v>
      </c>
      <c r="C1168" s="2">
        <v>300</v>
      </c>
      <c r="D1168" s="3" t="s">
        <v>154</v>
      </c>
      <c r="E1168" s="3">
        <v>19</v>
      </c>
    </row>
    <row r="1169" spans="1:5" x14ac:dyDescent="0.15">
      <c r="A1169" s="2" t="s">
        <v>4</v>
      </c>
      <c r="B1169" s="2" t="s">
        <v>2</v>
      </c>
      <c r="C1169" s="2">
        <v>300</v>
      </c>
      <c r="D1169" s="3" t="s">
        <v>110</v>
      </c>
      <c r="E1169" s="3">
        <v>20</v>
      </c>
    </row>
    <row r="1170" spans="1:5" x14ac:dyDescent="0.15">
      <c r="A1170" s="2" t="s">
        <v>4</v>
      </c>
      <c r="B1170" s="2" t="s">
        <v>2</v>
      </c>
      <c r="C1170" s="2">
        <v>300</v>
      </c>
      <c r="D1170" s="3" t="s">
        <v>137</v>
      </c>
      <c r="E1170" s="3">
        <v>22</v>
      </c>
    </row>
    <row r="1171" spans="1:5" x14ac:dyDescent="0.15">
      <c r="A1171" s="2" t="s">
        <v>4</v>
      </c>
      <c r="B1171" s="2" t="s">
        <v>2</v>
      </c>
      <c r="C1171" s="2">
        <v>300</v>
      </c>
      <c r="D1171" s="3" t="s">
        <v>138</v>
      </c>
      <c r="E1171" s="3">
        <v>24</v>
      </c>
    </row>
    <row r="1172" spans="1:5" x14ac:dyDescent="0.15">
      <c r="A1172" s="2" t="s">
        <v>4</v>
      </c>
      <c r="B1172" s="2" t="s">
        <v>3</v>
      </c>
      <c r="C1172" s="2">
        <v>350</v>
      </c>
      <c r="D1172" s="3" t="s">
        <v>121</v>
      </c>
      <c r="E1172" s="3">
        <v>4</v>
      </c>
    </row>
    <row r="1173" spans="1:5" x14ac:dyDescent="0.15">
      <c r="A1173" s="2" t="s">
        <v>4</v>
      </c>
      <c r="B1173" s="2" t="s">
        <v>2</v>
      </c>
      <c r="C1173" s="2">
        <v>350</v>
      </c>
      <c r="D1173" s="3" t="s">
        <v>122</v>
      </c>
      <c r="E1173" s="3">
        <v>4.5</v>
      </c>
    </row>
    <row r="1174" spans="1:5" x14ac:dyDescent="0.15">
      <c r="A1174" s="2" t="s">
        <v>4</v>
      </c>
      <c r="B1174" s="2" t="s">
        <v>2</v>
      </c>
      <c r="C1174" s="2">
        <v>350</v>
      </c>
      <c r="D1174" s="3" t="s">
        <v>123</v>
      </c>
      <c r="E1174" s="3">
        <v>5</v>
      </c>
    </row>
    <row r="1175" spans="1:5" x14ac:dyDescent="0.15">
      <c r="A1175" s="2" t="s">
        <v>4</v>
      </c>
      <c r="B1175" s="2" t="s">
        <v>2</v>
      </c>
      <c r="C1175" s="2">
        <v>350</v>
      </c>
      <c r="D1175" s="3" t="s">
        <v>125</v>
      </c>
      <c r="E1175" s="3">
        <v>6</v>
      </c>
    </row>
    <row r="1176" spans="1:5" x14ac:dyDescent="0.15">
      <c r="A1176" s="2" t="s">
        <v>4</v>
      </c>
      <c r="B1176" s="2" t="s">
        <v>2</v>
      </c>
      <c r="C1176" s="2">
        <v>350</v>
      </c>
      <c r="D1176" s="3" t="s">
        <v>127</v>
      </c>
      <c r="E1176" s="3">
        <v>7</v>
      </c>
    </row>
    <row r="1177" spans="1:5" x14ac:dyDescent="0.15">
      <c r="A1177" s="2" t="s">
        <v>4</v>
      </c>
      <c r="B1177" s="2" t="s">
        <v>2</v>
      </c>
      <c r="C1177" s="2">
        <v>350</v>
      </c>
      <c r="D1177" s="3" t="s">
        <v>128</v>
      </c>
      <c r="E1177" s="3">
        <v>7.5</v>
      </c>
    </row>
    <row r="1178" spans="1:5" x14ac:dyDescent="0.15">
      <c r="A1178" s="2" t="s">
        <v>4</v>
      </c>
      <c r="B1178" s="2" t="s">
        <v>2</v>
      </c>
      <c r="C1178" s="2">
        <v>350</v>
      </c>
      <c r="D1178" s="3" t="s">
        <v>102</v>
      </c>
      <c r="E1178" s="3">
        <v>8</v>
      </c>
    </row>
    <row r="1179" spans="1:5" x14ac:dyDescent="0.15">
      <c r="A1179" s="2" t="s">
        <v>4</v>
      </c>
      <c r="B1179" s="2" t="s">
        <v>2</v>
      </c>
      <c r="C1179" s="2">
        <v>350</v>
      </c>
      <c r="D1179" s="3" t="s">
        <v>130</v>
      </c>
      <c r="E1179" s="3">
        <v>9</v>
      </c>
    </row>
    <row r="1180" spans="1:5" x14ac:dyDescent="0.15">
      <c r="A1180" s="2" t="s">
        <v>4</v>
      </c>
      <c r="B1180" s="2" t="s">
        <v>2</v>
      </c>
      <c r="C1180" s="2">
        <v>350</v>
      </c>
      <c r="D1180" s="3" t="s">
        <v>131</v>
      </c>
      <c r="E1180" s="3">
        <v>9.5</v>
      </c>
    </row>
    <row r="1181" spans="1:5" x14ac:dyDescent="0.15">
      <c r="A1181" s="2" t="s">
        <v>4</v>
      </c>
      <c r="B1181" s="2" t="s">
        <v>2</v>
      </c>
      <c r="C1181" s="2">
        <v>350</v>
      </c>
      <c r="D1181" s="3" t="s">
        <v>104</v>
      </c>
      <c r="E1181" s="3">
        <v>10</v>
      </c>
    </row>
    <row r="1182" spans="1:5" x14ac:dyDescent="0.15">
      <c r="A1182" s="2" t="s">
        <v>4</v>
      </c>
      <c r="B1182" s="2" t="s">
        <v>2</v>
      </c>
      <c r="C1182" s="2">
        <v>350</v>
      </c>
      <c r="D1182" s="3" t="s">
        <v>105</v>
      </c>
      <c r="E1182" s="3">
        <v>11</v>
      </c>
    </row>
    <row r="1183" spans="1:5" x14ac:dyDescent="0.15">
      <c r="A1183" s="2" t="s">
        <v>4</v>
      </c>
      <c r="B1183" s="2" t="s">
        <v>2</v>
      </c>
      <c r="C1183" s="2">
        <v>350</v>
      </c>
      <c r="D1183" s="3" t="s">
        <v>132</v>
      </c>
      <c r="E1183" s="3">
        <v>12</v>
      </c>
    </row>
    <row r="1184" spans="1:5" x14ac:dyDescent="0.15">
      <c r="A1184" s="2" t="s">
        <v>4</v>
      </c>
      <c r="B1184" s="2" t="s">
        <v>2</v>
      </c>
      <c r="C1184" s="2">
        <v>350</v>
      </c>
      <c r="D1184" s="3" t="s">
        <v>133</v>
      </c>
      <c r="E1184" s="3">
        <v>13</v>
      </c>
    </row>
    <row r="1185" spans="1:5" x14ac:dyDescent="0.15">
      <c r="A1185" s="2" t="s">
        <v>4</v>
      </c>
      <c r="B1185" s="2" t="s">
        <v>2</v>
      </c>
      <c r="C1185" s="2">
        <v>350</v>
      </c>
      <c r="D1185" s="3" t="s">
        <v>134</v>
      </c>
      <c r="E1185" s="3">
        <v>14</v>
      </c>
    </row>
    <row r="1186" spans="1:5" x14ac:dyDescent="0.15">
      <c r="A1186" s="2" t="s">
        <v>4</v>
      </c>
      <c r="B1186" s="2" t="s">
        <v>2</v>
      </c>
      <c r="C1186" s="2">
        <v>350</v>
      </c>
      <c r="D1186" s="3" t="s">
        <v>135</v>
      </c>
      <c r="E1186" s="3">
        <v>15</v>
      </c>
    </row>
    <row r="1187" spans="1:5" x14ac:dyDescent="0.15">
      <c r="A1187" s="2" t="s">
        <v>4</v>
      </c>
      <c r="B1187" s="2" t="s">
        <v>2</v>
      </c>
      <c r="C1187" s="2">
        <v>350</v>
      </c>
      <c r="D1187" s="3" t="s">
        <v>108</v>
      </c>
      <c r="E1187" s="3">
        <v>16</v>
      </c>
    </row>
    <row r="1188" spans="1:5" x14ac:dyDescent="0.15">
      <c r="A1188" s="2" t="s">
        <v>4</v>
      </c>
      <c r="B1188" s="2" t="s">
        <v>2</v>
      </c>
      <c r="C1188" s="2">
        <v>350</v>
      </c>
      <c r="D1188" s="3" t="s">
        <v>153</v>
      </c>
      <c r="E1188" s="3">
        <v>17</v>
      </c>
    </row>
    <row r="1189" spans="1:5" x14ac:dyDescent="0.15">
      <c r="A1189" s="2" t="s">
        <v>4</v>
      </c>
      <c r="B1189" s="2" t="s">
        <v>2</v>
      </c>
      <c r="C1189" s="2">
        <v>350</v>
      </c>
      <c r="D1189" s="3" t="s">
        <v>136</v>
      </c>
      <c r="E1189" s="3">
        <v>18</v>
      </c>
    </row>
    <row r="1190" spans="1:5" x14ac:dyDescent="0.15">
      <c r="A1190" s="2" t="s">
        <v>4</v>
      </c>
      <c r="B1190" s="2" t="s">
        <v>2</v>
      </c>
      <c r="C1190" s="2">
        <v>350</v>
      </c>
      <c r="D1190" s="3" t="s">
        <v>154</v>
      </c>
      <c r="E1190" s="3">
        <v>19</v>
      </c>
    </row>
    <row r="1191" spans="1:5" x14ac:dyDescent="0.15">
      <c r="A1191" s="2" t="s">
        <v>4</v>
      </c>
      <c r="B1191" s="2" t="s">
        <v>2</v>
      </c>
      <c r="C1191" s="2">
        <v>350</v>
      </c>
      <c r="D1191" s="3" t="s">
        <v>110</v>
      </c>
      <c r="E1191" s="3">
        <v>20</v>
      </c>
    </row>
    <row r="1192" spans="1:5" x14ac:dyDescent="0.15">
      <c r="A1192" s="2" t="s">
        <v>4</v>
      </c>
      <c r="B1192" s="2" t="s">
        <v>2</v>
      </c>
      <c r="C1192" s="2">
        <v>350</v>
      </c>
      <c r="D1192" s="3" t="s">
        <v>137</v>
      </c>
      <c r="E1192" s="3">
        <v>22</v>
      </c>
    </row>
    <row r="1193" spans="1:5" x14ac:dyDescent="0.15">
      <c r="A1193" s="2" t="s">
        <v>4</v>
      </c>
      <c r="B1193" s="2" t="s">
        <v>2</v>
      </c>
      <c r="C1193" s="2">
        <v>350</v>
      </c>
      <c r="D1193" s="3" t="s">
        <v>138</v>
      </c>
      <c r="E1193" s="3">
        <v>24</v>
      </c>
    </row>
    <row r="1194" spans="1:5" x14ac:dyDescent="0.15">
      <c r="A1194" s="2" t="s">
        <v>4</v>
      </c>
      <c r="B1194" s="2" t="s">
        <v>2</v>
      </c>
      <c r="C1194" s="2">
        <v>400</v>
      </c>
      <c r="D1194" s="3" t="s">
        <v>121</v>
      </c>
      <c r="E1194" s="3">
        <v>4</v>
      </c>
    </row>
    <row r="1195" spans="1:5" x14ac:dyDescent="0.15">
      <c r="A1195" s="2" t="s">
        <v>4</v>
      </c>
      <c r="B1195" s="2" t="s">
        <v>2</v>
      </c>
      <c r="C1195" s="2">
        <v>400</v>
      </c>
      <c r="D1195" s="3" t="s">
        <v>122</v>
      </c>
      <c r="E1195" s="3">
        <v>4.5</v>
      </c>
    </row>
    <row r="1196" spans="1:5" x14ac:dyDescent="0.15">
      <c r="A1196" s="2" t="s">
        <v>4</v>
      </c>
      <c r="B1196" s="2" t="s">
        <v>2</v>
      </c>
      <c r="C1196" s="2">
        <v>400</v>
      </c>
      <c r="D1196" s="3" t="s">
        <v>123</v>
      </c>
      <c r="E1196" s="3">
        <v>5</v>
      </c>
    </row>
    <row r="1197" spans="1:5" x14ac:dyDescent="0.15">
      <c r="A1197" s="2" t="s">
        <v>4</v>
      </c>
      <c r="B1197" s="2" t="s">
        <v>2</v>
      </c>
      <c r="C1197" s="2">
        <v>400</v>
      </c>
      <c r="D1197" s="3" t="s">
        <v>125</v>
      </c>
      <c r="E1197" s="3">
        <v>6</v>
      </c>
    </row>
    <row r="1198" spans="1:5" x14ac:dyDescent="0.15">
      <c r="A1198" s="2" t="s">
        <v>4</v>
      </c>
      <c r="B1198" s="2" t="s">
        <v>2</v>
      </c>
      <c r="C1198" s="2">
        <v>400</v>
      </c>
      <c r="D1198" s="3" t="s">
        <v>127</v>
      </c>
      <c r="E1198" s="3">
        <v>7</v>
      </c>
    </row>
    <row r="1199" spans="1:5" x14ac:dyDescent="0.15">
      <c r="A1199" s="2" t="s">
        <v>4</v>
      </c>
      <c r="B1199" s="2" t="s">
        <v>2</v>
      </c>
      <c r="C1199" s="2">
        <v>400</v>
      </c>
      <c r="D1199" s="3" t="s">
        <v>128</v>
      </c>
      <c r="E1199" s="3">
        <v>7.5</v>
      </c>
    </row>
    <row r="1200" spans="1:5" x14ac:dyDescent="0.15">
      <c r="A1200" s="2" t="s">
        <v>4</v>
      </c>
      <c r="B1200" s="2" t="s">
        <v>2</v>
      </c>
      <c r="C1200" s="2">
        <v>400</v>
      </c>
      <c r="D1200" s="3" t="s">
        <v>102</v>
      </c>
      <c r="E1200" s="3">
        <v>8</v>
      </c>
    </row>
    <row r="1201" spans="1:5" x14ac:dyDescent="0.15">
      <c r="A1201" s="2" t="s">
        <v>4</v>
      </c>
      <c r="B1201" s="2" t="s">
        <v>2</v>
      </c>
      <c r="C1201" s="2">
        <v>400</v>
      </c>
      <c r="D1201" s="3" t="s">
        <v>130</v>
      </c>
      <c r="E1201" s="3">
        <v>9</v>
      </c>
    </row>
    <row r="1202" spans="1:5" x14ac:dyDescent="0.15">
      <c r="A1202" s="2" t="s">
        <v>4</v>
      </c>
      <c r="B1202" s="2" t="s">
        <v>2</v>
      </c>
      <c r="C1202" s="2">
        <v>400</v>
      </c>
      <c r="D1202" s="3" t="s">
        <v>131</v>
      </c>
      <c r="E1202" s="3">
        <v>9.5</v>
      </c>
    </row>
    <row r="1203" spans="1:5" x14ac:dyDescent="0.15">
      <c r="A1203" s="2" t="s">
        <v>4</v>
      </c>
      <c r="B1203" s="2" t="s">
        <v>2</v>
      </c>
      <c r="C1203" s="2">
        <v>400</v>
      </c>
      <c r="D1203" s="3" t="s">
        <v>104</v>
      </c>
      <c r="E1203" s="3">
        <v>10</v>
      </c>
    </row>
    <row r="1204" spans="1:5" x14ac:dyDescent="0.15">
      <c r="A1204" s="2" t="s">
        <v>4</v>
      </c>
      <c r="B1204" s="2" t="s">
        <v>2</v>
      </c>
      <c r="C1204" s="2">
        <v>400</v>
      </c>
      <c r="D1204" s="3" t="s">
        <v>105</v>
      </c>
      <c r="E1204" s="3">
        <v>11</v>
      </c>
    </row>
    <row r="1205" spans="1:5" x14ac:dyDescent="0.15">
      <c r="A1205" s="2" t="s">
        <v>4</v>
      </c>
      <c r="B1205" s="2" t="s">
        <v>2</v>
      </c>
      <c r="C1205" s="2">
        <v>400</v>
      </c>
      <c r="D1205" s="3" t="s">
        <v>132</v>
      </c>
      <c r="E1205" s="3">
        <v>12</v>
      </c>
    </row>
    <row r="1206" spans="1:5" x14ac:dyDescent="0.15">
      <c r="A1206" s="2" t="s">
        <v>4</v>
      </c>
      <c r="B1206" s="2" t="s">
        <v>2</v>
      </c>
      <c r="C1206" s="2">
        <v>400</v>
      </c>
      <c r="D1206" s="3" t="s">
        <v>133</v>
      </c>
      <c r="E1206" s="3">
        <v>13</v>
      </c>
    </row>
    <row r="1207" spans="1:5" x14ac:dyDescent="0.15">
      <c r="A1207" s="2" t="s">
        <v>4</v>
      </c>
      <c r="B1207" s="2" t="s">
        <v>2</v>
      </c>
      <c r="C1207" s="2">
        <v>400</v>
      </c>
      <c r="D1207" s="3" t="s">
        <v>134</v>
      </c>
      <c r="E1207" s="3">
        <v>14</v>
      </c>
    </row>
    <row r="1208" spans="1:5" x14ac:dyDescent="0.15">
      <c r="A1208" s="2" t="s">
        <v>4</v>
      </c>
      <c r="B1208" s="2" t="s">
        <v>2</v>
      </c>
      <c r="C1208" s="2">
        <v>400</v>
      </c>
      <c r="D1208" s="3" t="s">
        <v>135</v>
      </c>
      <c r="E1208" s="3">
        <v>15</v>
      </c>
    </row>
    <row r="1209" spans="1:5" x14ac:dyDescent="0.15">
      <c r="A1209" s="2" t="s">
        <v>4</v>
      </c>
      <c r="B1209" s="2" t="s">
        <v>2</v>
      </c>
      <c r="C1209" s="2">
        <v>400</v>
      </c>
      <c r="D1209" s="3" t="s">
        <v>108</v>
      </c>
      <c r="E1209" s="3">
        <v>16</v>
      </c>
    </row>
    <row r="1210" spans="1:5" x14ac:dyDescent="0.15">
      <c r="A1210" s="2" t="s">
        <v>4</v>
      </c>
      <c r="B1210" s="2" t="s">
        <v>2</v>
      </c>
      <c r="C1210" s="2">
        <v>400</v>
      </c>
      <c r="D1210" s="3" t="s">
        <v>153</v>
      </c>
      <c r="E1210" s="3">
        <v>17</v>
      </c>
    </row>
    <row r="1211" spans="1:5" x14ac:dyDescent="0.15">
      <c r="A1211" s="2" t="s">
        <v>4</v>
      </c>
      <c r="B1211" s="2" t="s">
        <v>2</v>
      </c>
      <c r="C1211" s="2">
        <v>400</v>
      </c>
      <c r="D1211" s="3" t="s">
        <v>136</v>
      </c>
      <c r="E1211" s="3">
        <v>18</v>
      </c>
    </row>
    <row r="1212" spans="1:5" x14ac:dyDescent="0.15">
      <c r="A1212" s="2" t="s">
        <v>4</v>
      </c>
      <c r="B1212" s="2" t="s">
        <v>2</v>
      </c>
      <c r="C1212" s="2">
        <v>400</v>
      </c>
      <c r="D1212" s="3" t="s">
        <v>154</v>
      </c>
      <c r="E1212" s="3">
        <v>19</v>
      </c>
    </row>
    <row r="1213" spans="1:5" x14ac:dyDescent="0.15">
      <c r="A1213" s="2" t="s">
        <v>4</v>
      </c>
      <c r="B1213" s="2" t="s">
        <v>2</v>
      </c>
      <c r="C1213" s="2">
        <v>400</v>
      </c>
      <c r="D1213" s="3" t="s">
        <v>110</v>
      </c>
      <c r="E1213" s="3">
        <v>20</v>
      </c>
    </row>
    <row r="1214" spans="1:5" x14ac:dyDescent="0.15">
      <c r="A1214" s="2" t="s">
        <v>4</v>
      </c>
      <c r="B1214" s="2" t="s">
        <v>2</v>
      </c>
      <c r="C1214" s="2">
        <v>400</v>
      </c>
      <c r="D1214" s="3" t="s">
        <v>137</v>
      </c>
      <c r="E1214" s="3">
        <v>22</v>
      </c>
    </row>
    <row r="1215" spans="1:5" x14ac:dyDescent="0.15">
      <c r="A1215" s="2" t="s">
        <v>4</v>
      </c>
      <c r="B1215" s="2" t="s">
        <v>2</v>
      </c>
      <c r="C1215" s="2">
        <v>400</v>
      </c>
      <c r="D1215" s="3" t="s">
        <v>138</v>
      </c>
      <c r="E1215" s="3">
        <v>24</v>
      </c>
    </row>
    <row r="1216" spans="1:5" x14ac:dyDescent="0.15">
      <c r="A1216" s="2" t="s">
        <v>4</v>
      </c>
      <c r="B1216" s="2" t="s">
        <v>3</v>
      </c>
      <c r="C1216" s="2">
        <v>450</v>
      </c>
      <c r="D1216" s="3" t="s">
        <v>121</v>
      </c>
      <c r="E1216" s="3">
        <v>4</v>
      </c>
    </row>
    <row r="1217" spans="1:5" x14ac:dyDescent="0.15">
      <c r="A1217" s="2" t="s">
        <v>4</v>
      </c>
      <c r="B1217" s="2" t="s">
        <v>2</v>
      </c>
      <c r="C1217" s="2">
        <v>450</v>
      </c>
      <c r="D1217" s="3" t="s">
        <v>122</v>
      </c>
      <c r="E1217" s="3">
        <v>4.5</v>
      </c>
    </row>
    <row r="1218" spans="1:5" x14ac:dyDescent="0.15">
      <c r="A1218" s="2" t="s">
        <v>4</v>
      </c>
      <c r="B1218" s="2" t="s">
        <v>2</v>
      </c>
      <c r="C1218" s="2">
        <v>450</v>
      </c>
      <c r="D1218" s="3" t="s">
        <v>123</v>
      </c>
      <c r="E1218" s="3">
        <v>5</v>
      </c>
    </row>
    <row r="1219" spans="1:5" x14ac:dyDescent="0.15">
      <c r="A1219" s="2" t="s">
        <v>4</v>
      </c>
      <c r="B1219" s="2" t="s">
        <v>2</v>
      </c>
      <c r="C1219" s="2">
        <v>450</v>
      </c>
      <c r="D1219" s="3" t="s">
        <v>125</v>
      </c>
      <c r="E1219" s="3">
        <v>6</v>
      </c>
    </row>
    <row r="1220" spans="1:5" x14ac:dyDescent="0.15">
      <c r="A1220" s="2" t="s">
        <v>4</v>
      </c>
      <c r="B1220" s="2" t="s">
        <v>2</v>
      </c>
      <c r="C1220" s="2">
        <v>450</v>
      </c>
      <c r="D1220" s="3" t="s">
        <v>127</v>
      </c>
      <c r="E1220" s="3">
        <v>7</v>
      </c>
    </row>
    <row r="1221" spans="1:5" x14ac:dyDescent="0.15">
      <c r="A1221" s="2" t="s">
        <v>4</v>
      </c>
      <c r="B1221" s="2" t="s">
        <v>2</v>
      </c>
      <c r="C1221" s="2">
        <v>450</v>
      </c>
      <c r="D1221" s="3" t="s">
        <v>128</v>
      </c>
      <c r="E1221" s="3">
        <v>7.5</v>
      </c>
    </row>
    <row r="1222" spans="1:5" x14ac:dyDescent="0.15">
      <c r="A1222" s="2" t="s">
        <v>4</v>
      </c>
      <c r="B1222" s="2" t="s">
        <v>2</v>
      </c>
      <c r="C1222" s="2">
        <v>450</v>
      </c>
      <c r="D1222" s="3" t="s">
        <v>102</v>
      </c>
      <c r="E1222" s="3">
        <v>8</v>
      </c>
    </row>
    <row r="1223" spans="1:5" x14ac:dyDescent="0.15">
      <c r="A1223" s="2" t="s">
        <v>4</v>
      </c>
      <c r="B1223" s="2" t="s">
        <v>2</v>
      </c>
      <c r="C1223" s="2">
        <v>450</v>
      </c>
      <c r="D1223" s="3" t="s">
        <v>130</v>
      </c>
      <c r="E1223" s="3">
        <v>9</v>
      </c>
    </row>
    <row r="1224" spans="1:5" x14ac:dyDescent="0.15">
      <c r="A1224" s="2" t="s">
        <v>4</v>
      </c>
      <c r="B1224" s="2" t="s">
        <v>2</v>
      </c>
      <c r="C1224" s="2">
        <v>450</v>
      </c>
      <c r="D1224" s="3" t="s">
        <v>131</v>
      </c>
      <c r="E1224" s="3">
        <v>9.5</v>
      </c>
    </row>
    <row r="1225" spans="1:5" x14ac:dyDescent="0.15">
      <c r="A1225" s="2" t="s">
        <v>4</v>
      </c>
      <c r="B1225" s="2" t="s">
        <v>2</v>
      </c>
      <c r="C1225" s="2">
        <v>450</v>
      </c>
      <c r="D1225" s="3" t="s">
        <v>104</v>
      </c>
      <c r="E1225" s="3">
        <v>10</v>
      </c>
    </row>
    <row r="1226" spans="1:5" x14ac:dyDescent="0.15">
      <c r="A1226" s="2" t="s">
        <v>4</v>
      </c>
      <c r="B1226" s="2" t="s">
        <v>2</v>
      </c>
      <c r="C1226" s="2">
        <v>450</v>
      </c>
      <c r="D1226" s="3" t="s">
        <v>105</v>
      </c>
      <c r="E1226" s="3">
        <v>11</v>
      </c>
    </row>
    <row r="1227" spans="1:5" x14ac:dyDescent="0.15">
      <c r="A1227" s="2" t="s">
        <v>4</v>
      </c>
      <c r="B1227" s="2" t="s">
        <v>2</v>
      </c>
      <c r="C1227" s="2">
        <v>450</v>
      </c>
      <c r="D1227" s="3" t="s">
        <v>132</v>
      </c>
      <c r="E1227" s="3">
        <v>12</v>
      </c>
    </row>
    <row r="1228" spans="1:5" x14ac:dyDescent="0.15">
      <c r="A1228" s="2" t="s">
        <v>4</v>
      </c>
      <c r="B1228" s="2" t="s">
        <v>2</v>
      </c>
      <c r="C1228" s="2">
        <v>450</v>
      </c>
      <c r="D1228" s="3" t="s">
        <v>133</v>
      </c>
      <c r="E1228" s="3">
        <v>13</v>
      </c>
    </row>
    <row r="1229" spans="1:5" x14ac:dyDescent="0.15">
      <c r="A1229" s="2" t="s">
        <v>4</v>
      </c>
      <c r="B1229" s="2" t="s">
        <v>2</v>
      </c>
      <c r="C1229" s="2">
        <v>450</v>
      </c>
      <c r="D1229" s="3" t="s">
        <v>134</v>
      </c>
      <c r="E1229" s="3">
        <v>14</v>
      </c>
    </row>
    <row r="1230" spans="1:5" x14ac:dyDescent="0.15">
      <c r="A1230" s="2" t="s">
        <v>4</v>
      </c>
      <c r="B1230" s="2" t="s">
        <v>2</v>
      </c>
      <c r="C1230" s="2">
        <v>450</v>
      </c>
      <c r="D1230" s="3" t="s">
        <v>135</v>
      </c>
      <c r="E1230" s="3">
        <v>15</v>
      </c>
    </row>
    <row r="1231" spans="1:5" x14ac:dyDescent="0.15">
      <c r="A1231" s="2" t="s">
        <v>4</v>
      </c>
      <c r="B1231" s="2" t="s">
        <v>2</v>
      </c>
      <c r="C1231" s="2">
        <v>450</v>
      </c>
      <c r="D1231" s="3" t="s">
        <v>108</v>
      </c>
      <c r="E1231" s="3">
        <v>16</v>
      </c>
    </row>
    <row r="1232" spans="1:5" x14ac:dyDescent="0.15">
      <c r="A1232" s="2" t="s">
        <v>4</v>
      </c>
      <c r="B1232" s="2" t="s">
        <v>2</v>
      </c>
      <c r="C1232" s="2">
        <v>450</v>
      </c>
      <c r="D1232" s="3" t="s">
        <v>153</v>
      </c>
      <c r="E1232" s="3">
        <v>17</v>
      </c>
    </row>
    <row r="1233" spans="1:5" x14ac:dyDescent="0.15">
      <c r="A1233" s="2" t="s">
        <v>4</v>
      </c>
      <c r="B1233" s="2" t="s">
        <v>2</v>
      </c>
      <c r="C1233" s="2">
        <v>450</v>
      </c>
      <c r="D1233" s="3" t="s">
        <v>136</v>
      </c>
      <c r="E1233" s="3">
        <v>18</v>
      </c>
    </row>
    <row r="1234" spans="1:5" x14ac:dyDescent="0.15">
      <c r="A1234" s="2" t="s">
        <v>4</v>
      </c>
      <c r="B1234" s="2" t="s">
        <v>2</v>
      </c>
      <c r="C1234" s="2">
        <v>450</v>
      </c>
      <c r="D1234" s="3" t="s">
        <v>154</v>
      </c>
      <c r="E1234" s="3">
        <v>19</v>
      </c>
    </row>
    <row r="1235" spans="1:5" x14ac:dyDescent="0.15">
      <c r="A1235" s="2" t="s">
        <v>4</v>
      </c>
      <c r="B1235" s="2" t="s">
        <v>2</v>
      </c>
      <c r="C1235" s="2">
        <v>450</v>
      </c>
      <c r="D1235" s="3" t="s">
        <v>110</v>
      </c>
      <c r="E1235" s="3">
        <v>20</v>
      </c>
    </row>
    <row r="1236" spans="1:5" x14ac:dyDescent="0.15">
      <c r="A1236" s="2" t="s">
        <v>4</v>
      </c>
      <c r="B1236" s="2" t="s">
        <v>2</v>
      </c>
      <c r="C1236" s="2">
        <v>450</v>
      </c>
      <c r="D1236" s="3" t="s">
        <v>137</v>
      </c>
      <c r="E1236" s="3">
        <v>22</v>
      </c>
    </row>
    <row r="1237" spans="1:5" x14ac:dyDescent="0.15">
      <c r="A1237" s="2" t="s">
        <v>4</v>
      </c>
      <c r="B1237" s="2" t="s">
        <v>2</v>
      </c>
      <c r="C1237" s="2">
        <v>450</v>
      </c>
      <c r="D1237" s="3" t="s">
        <v>138</v>
      </c>
      <c r="E1237" s="3">
        <v>24</v>
      </c>
    </row>
    <row r="1238" spans="1:5" x14ac:dyDescent="0.15">
      <c r="A1238" s="2" t="s">
        <v>4</v>
      </c>
      <c r="B1238" s="2" t="s">
        <v>2</v>
      </c>
      <c r="C1238" s="2">
        <v>500</v>
      </c>
      <c r="D1238" s="3" t="s">
        <v>123</v>
      </c>
      <c r="E1238" s="3">
        <v>5</v>
      </c>
    </row>
    <row r="1239" spans="1:5" x14ac:dyDescent="0.15">
      <c r="A1239" s="2" t="s">
        <v>4</v>
      </c>
      <c r="B1239" s="2" t="s">
        <v>2</v>
      </c>
      <c r="C1239" s="2">
        <v>500</v>
      </c>
      <c r="D1239" s="3" t="s">
        <v>125</v>
      </c>
      <c r="E1239" s="3">
        <v>6</v>
      </c>
    </row>
    <row r="1240" spans="1:5" x14ac:dyDescent="0.15">
      <c r="A1240" s="2" t="s">
        <v>4</v>
      </c>
      <c r="B1240" s="2" t="s">
        <v>2</v>
      </c>
      <c r="C1240" s="2">
        <v>500</v>
      </c>
      <c r="D1240" s="3" t="s">
        <v>127</v>
      </c>
      <c r="E1240" s="3">
        <v>7</v>
      </c>
    </row>
    <row r="1241" spans="1:5" x14ac:dyDescent="0.15">
      <c r="A1241" s="2" t="s">
        <v>4</v>
      </c>
      <c r="B1241" s="2" t="s">
        <v>2</v>
      </c>
      <c r="C1241" s="2">
        <v>500</v>
      </c>
      <c r="D1241" s="3" t="s">
        <v>128</v>
      </c>
      <c r="E1241" s="3">
        <v>7.5</v>
      </c>
    </row>
    <row r="1242" spans="1:5" x14ac:dyDescent="0.15">
      <c r="A1242" s="2" t="s">
        <v>4</v>
      </c>
      <c r="B1242" s="2" t="s">
        <v>2</v>
      </c>
      <c r="C1242" s="2">
        <v>500</v>
      </c>
      <c r="D1242" s="3" t="s">
        <v>102</v>
      </c>
      <c r="E1242" s="3">
        <v>8</v>
      </c>
    </row>
    <row r="1243" spans="1:5" x14ac:dyDescent="0.15">
      <c r="A1243" s="2" t="s">
        <v>4</v>
      </c>
      <c r="B1243" s="2" t="s">
        <v>2</v>
      </c>
      <c r="C1243" s="2">
        <v>500</v>
      </c>
      <c r="D1243" s="3" t="s">
        <v>130</v>
      </c>
      <c r="E1243" s="3">
        <v>9</v>
      </c>
    </row>
    <row r="1244" spans="1:5" x14ac:dyDescent="0.15">
      <c r="A1244" s="2" t="s">
        <v>4</v>
      </c>
      <c r="B1244" s="2" t="s">
        <v>2</v>
      </c>
      <c r="C1244" s="2">
        <v>500</v>
      </c>
      <c r="D1244" s="3" t="s">
        <v>131</v>
      </c>
      <c r="E1244" s="3">
        <v>9.5</v>
      </c>
    </row>
    <row r="1245" spans="1:5" x14ac:dyDescent="0.15">
      <c r="A1245" s="2" t="s">
        <v>4</v>
      </c>
      <c r="B1245" s="2" t="s">
        <v>161</v>
      </c>
      <c r="C1245" s="2">
        <v>500</v>
      </c>
      <c r="D1245" s="3" t="s">
        <v>104</v>
      </c>
      <c r="E1245" s="3">
        <v>10</v>
      </c>
    </row>
    <row r="1246" spans="1:5" x14ac:dyDescent="0.15">
      <c r="A1246" s="2" t="s">
        <v>4</v>
      </c>
      <c r="B1246" s="2" t="s">
        <v>2</v>
      </c>
      <c r="C1246" s="2">
        <v>500</v>
      </c>
      <c r="D1246" s="3" t="s">
        <v>105</v>
      </c>
      <c r="E1246" s="3">
        <v>11</v>
      </c>
    </row>
    <row r="1247" spans="1:5" x14ac:dyDescent="0.15">
      <c r="A1247" s="2" t="s">
        <v>4</v>
      </c>
      <c r="B1247" s="2" t="s">
        <v>2</v>
      </c>
      <c r="C1247" s="2">
        <v>500</v>
      </c>
      <c r="D1247" s="3" t="s">
        <v>132</v>
      </c>
      <c r="E1247" s="3">
        <v>12</v>
      </c>
    </row>
    <row r="1248" spans="1:5" x14ac:dyDescent="0.15">
      <c r="A1248" s="2" t="s">
        <v>4</v>
      </c>
      <c r="B1248" s="2" t="s">
        <v>2</v>
      </c>
      <c r="C1248" s="2">
        <v>500</v>
      </c>
      <c r="D1248" s="3" t="s">
        <v>133</v>
      </c>
      <c r="E1248" s="3">
        <v>13</v>
      </c>
    </row>
    <row r="1249" spans="1:5" x14ac:dyDescent="0.15">
      <c r="A1249" s="2" t="s">
        <v>4</v>
      </c>
      <c r="B1249" s="2" t="s">
        <v>2</v>
      </c>
      <c r="C1249" s="2">
        <v>500</v>
      </c>
      <c r="D1249" s="3" t="s">
        <v>134</v>
      </c>
      <c r="E1249" s="3">
        <v>14</v>
      </c>
    </row>
    <row r="1250" spans="1:5" x14ac:dyDescent="0.15">
      <c r="A1250" s="2" t="s">
        <v>4</v>
      </c>
      <c r="B1250" s="2" t="s">
        <v>2</v>
      </c>
      <c r="C1250" s="2">
        <v>500</v>
      </c>
      <c r="D1250" s="3" t="s">
        <v>135</v>
      </c>
      <c r="E1250" s="3">
        <v>15</v>
      </c>
    </row>
    <row r="1251" spans="1:5" x14ac:dyDescent="0.15">
      <c r="A1251" s="2" t="s">
        <v>4</v>
      </c>
      <c r="B1251" s="2" t="s">
        <v>2</v>
      </c>
      <c r="C1251" s="2">
        <v>500</v>
      </c>
      <c r="D1251" s="3" t="s">
        <v>108</v>
      </c>
      <c r="E1251" s="3">
        <v>16</v>
      </c>
    </row>
    <row r="1252" spans="1:5" x14ac:dyDescent="0.15">
      <c r="A1252" s="2" t="s">
        <v>4</v>
      </c>
      <c r="B1252" s="2" t="s">
        <v>2</v>
      </c>
      <c r="C1252" s="2">
        <v>500</v>
      </c>
      <c r="D1252" s="3" t="s">
        <v>153</v>
      </c>
      <c r="E1252" s="3">
        <v>17</v>
      </c>
    </row>
    <row r="1253" spans="1:5" x14ac:dyDescent="0.15">
      <c r="A1253" s="2" t="s">
        <v>4</v>
      </c>
      <c r="B1253" s="2" t="s">
        <v>2</v>
      </c>
      <c r="C1253" s="2">
        <v>500</v>
      </c>
      <c r="D1253" s="3" t="s">
        <v>136</v>
      </c>
      <c r="E1253" s="3">
        <v>18</v>
      </c>
    </row>
    <row r="1254" spans="1:5" x14ac:dyDescent="0.15">
      <c r="A1254" s="2" t="s">
        <v>4</v>
      </c>
      <c r="B1254" s="2" t="s">
        <v>2</v>
      </c>
      <c r="C1254" s="2">
        <v>500</v>
      </c>
      <c r="D1254" s="3" t="s">
        <v>154</v>
      </c>
      <c r="E1254" s="3">
        <v>19</v>
      </c>
    </row>
    <row r="1255" spans="1:5" x14ac:dyDescent="0.15">
      <c r="A1255" s="2" t="s">
        <v>4</v>
      </c>
      <c r="B1255" s="2" t="s">
        <v>2</v>
      </c>
      <c r="C1255" s="2">
        <v>500</v>
      </c>
      <c r="D1255" s="3" t="s">
        <v>110</v>
      </c>
      <c r="E1255" s="3">
        <v>20</v>
      </c>
    </row>
    <row r="1256" spans="1:5" x14ac:dyDescent="0.15">
      <c r="A1256" s="2" t="s">
        <v>4</v>
      </c>
      <c r="B1256" s="2" t="s">
        <v>2</v>
      </c>
      <c r="C1256" s="2">
        <v>500</v>
      </c>
      <c r="D1256" s="3" t="s">
        <v>137</v>
      </c>
      <c r="E1256" s="3">
        <v>22</v>
      </c>
    </row>
    <row r="1257" spans="1:5" x14ac:dyDescent="0.15">
      <c r="A1257" s="2" t="s">
        <v>4</v>
      </c>
      <c r="B1257" s="2" t="s">
        <v>2</v>
      </c>
      <c r="C1257" s="2">
        <v>500</v>
      </c>
      <c r="D1257" s="3" t="s">
        <v>138</v>
      </c>
      <c r="E1257" s="3">
        <v>24</v>
      </c>
    </row>
    <row r="1258" spans="1:5" x14ac:dyDescent="0.15">
      <c r="A1258" s="2" t="s">
        <v>4</v>
      </c>
      <c r="B1258" s="2" t="s">
        <v>3</v>
      </c>
      <c r="C1258" s="2">
        <v>600</v>
      </c>
      <c r="D1258" s="3" t="s">
        <v>123</v>
      </c>
      <c r="E1258" s="3">
        <v>5</v>
      </c>
    </row>
    <row r="1259" spans="1:5" x14ac:dyDescent="0.15">
      <c r="A1259" s="2" t="s">
        <v>4</v>
      </c>
      <c r="B1259" s="2" t="s">
        <v>2</v>
      </c>
      <c r="C1259" s="2">
        <v>600</v>
      </c>
      <c r="D1259" s="3" t="s">
        <v>125</v>
      </c>
      <c r="E1259" s="3">
        <v>6</v>
      </c>
    </row>
    <row r="1260" spans="1:5" x14ac:dyDescent="0.15">
      <c r="A1260" s="2" t="s">
        <v>4</v>
      </c>
      <c r="B1260" s="2" t="s">
        <v>2</v>
      </c>
      <c r="C1260" s="2">
        <v>600</v>
      </c>
      <c r="D1260" s="3" t="s">
        <v>127</v>
      </c>
      <c r="E1260" s="3">
        <v>7</v>
      </c>
    </row>
    <row r="1261" spans="1:5" x14ac:dyDescent="0.15">
      <c r="A1261" s="2" t="s">
        <v>4</v>
      </c>
      <c r="B1261" s="2" t="s">
        <v>2</v>
      </c>
      <c r="C1261" s="2">
        <v>600</v>
      </c>
      <c r="D1261" s="3" t="s">
        <v>128</v>
      </c>
      <c r="E1261" s="3">
        <v>7.5</v>
      </c>
    </row>
    <row r="1262" spans="1:5" x14ac:dyDescent="0.15">
      <c r="A1262" s="2" t="s">
        <v>4</v>
      </c>
      <c r="B1262" s="2" t="s">
        <v>2</v>
      </c>
      <c r="C1262" s="2">
        <v>600</v>
      </c>
      <c r="D1262" s="3" t="s">
        <v>102</v>
      </c>
      <c r="E1262" s="3">
        <v>8</v>
      </c>
    </row>
    <row r="1263" spans="1:5" x14ac:dyDescent="0.15">
      <c r="A1263" s="2" t="s">
        <v>4</v>
      </c>
      <c r="B1263" s="2" t="s">
        <v>2</v>
      </c>
      <c r="C1263" s="2">
        <v>600</v>
      </c>
      <c r="D1263" s="3" t="s">
        <v>130</v>
      </c>
      <c r="E1263" s="3">
        <v>9</v>
      </c>
    </row>
    <row r="1264" spans="1:5" x14ac:dyDescent="0.15">
      <c r="A1264" s="2" t="s">
        <v>4</v>
      </c>
      <c r="B1264" s="2" t="s">
        <v>2</v>
      </c>
      <c r="C1264" s="2">
        <v>600</v>
      </c>
      <c r="D1264" s="3" t="s">
        <v>131</v>
      </c>
      <c r="E1264" s="3">
        <v>9.5</v>
      </c>
    </row>
    <row r="1265" spans="1:5" x14ac:dyDescent="0.15">
      <c r="A1265" s="2" t="s">
        <v>4</v>
      </c>
      <c r="B1265" s="2" t="s">
        <v>2</v>
      </c>
      <c r="C1265" s="2">
        <v>600</v>
      </c>
      <c r="D1265" s="3" t="s">
        <v>104</v>
      </c>
      <c r="E1265" s="3">
        <v>10</v>
      </c>
    </row>
    <row r="1266" spans="1:5" x14ac:dyDescent="0.15">
      <c r="A1266" s="2" t="s">
        <v>4</v>
      </c>
      <c r="B1266" s="2" t="s">
        <v>2</v>
      </c>
      <c r="C1266" s="2">
        <v>600</v>
      </c>
      <c r="D1266" s="3" t="s">
        <v>105</v>
      </c>
      <c r="E1266" s="3">
        <v>11</v>
      </c>
    </row>
    <row r="1267" spans="1:5" x14ac:dyDescent="0.15">
      <c r="A1267" s="2" t="s">
        <v>4</v>
      </c>
      <c r="B1267" s="2" t="s">
        <v>2</v>
      </c>
      <c r="C1267" s="2">
        <v>600</v>
      </c>
      <c r="D1267" s="3" t="s">
        <v>132</v>
      </c>
      <c r="E1267" s="3">
        <v>12</v>
      </c>
    </row>
    <row r="1268" spans="1:5" x14ac:dyDescent="0.15">
      <c r="A1268" s="2" t="s">
        <v>4</v>
      </c>
      <c r="B1268" s="2" t="s">
        <v>2</v>
      </c>
      <c r="C1268" s="2">
        <v>600</v>
      </c>
      <c r="D1268" s="3" t="s">
        <v>133</v>
      </c>
      <c r="E1268" s="3">
        <v>13</v>
      </c>
    </row>
    <row r="1269" spans="1:5" x14ac:dyDescent="0.15">
      <c r="A1269" s="2" t="s">
        <v>4</v>
      </c>
      <c r="B1269" s="2" t="s">
        <v>2</v>
      </c>
      <c r="C1269" s="2">
        <v>600</v>
      </c>
      <c r="D1269" s="3" t="s">
        <v>134</v>
      </c>
      <c r="E1269" s="3">
        <v>14</v>
      </c>
    </row>
    <row r="1270" spans="1:5" x14ac:dyDescent="0.15">
      <c r="A1270" s="2" t="s">
        <v>4</v>
      </c>
      <c r="B1270" s="2" t="s">
        <v>2</v>
      </c>
      <c r="C1270" s="2">
        <v>600</v>
      </c>
      <c r="D1270" s="3" t="s">
        <v>135</v>
      </c>
      <c r="E1270" s="3">
        <v>15</v>
      </c>
    </row>
    <row r="1271" spans="1:5" x14ac:dyDescent="0.15">
      <c r="A1271" s="2" t="s">
        <v>4</v>
      </c>
      <c r="B1271" s="2" t="s">
        <v>2</v>
      </c>
      <c r="C1271" s="2">
        <v>600</v>
      </c>
      <c r="D1271" s="3" t="s">
        <v>108</v>
      </c>
      <c r="E1271" s="3">
        <v>16</v>
      </c>
    </row>
    <row r="1272" spans="1:5" x14ac:dyDescent="0.15">
      <c r="A1272" s="2" t="s">
        <v>4</v>
      </c>
      <c r="B1272" s="2" t="s">
        <v>2</v>
      </c>
      <c r="C1272" s="2">
        <v>600</v>
      </c>
      <c r="D1272" s="3" t="s">
        <v>153</v>
      </c>
      <c r="E1272" s="3">
        <v>17</v>
      </c>
    </row>
    <row r="1273" spans="1:5" x14ac:dyDescent="0.15">
      <c r="A1273" s="2" t="s">
        <v>4</v>
      </c>
      <c r="B1273" s="2" t="s">
        <v>2</v>
      </c>
      <c r="C1273" s="2">
        <v>600</v>
      </c>
      <c r="D1273" s="3" t="s">
        <v>136</v>
      </c>
      <c r="E1273" s="3">
        <v>18</v>
      </c>
    </row>
    <row r="1274" spans="1:5" x14ac:dyDescent="0.15">
      <c r="A1274" s="2" t="s">
        <v>4</v>
      </c>
      <c r="B1274" s="2" t="s">
        <v>2</v>
      </c>
      <c r="C1274" s="2">
        <v>600</v>
      </c>
      <c r="D1274" s="3" t="s">
        <v>154</v>
      </c>
      <c r="E1274" s="3">
        <v>19</v>
      </c>
    </row>
    <row r="1275" spans="1:5" x14ac:dyDescent="0.15">
      <c r="A1275" s="2" t="s">
        <v>4</v>
      </c>
      <c r="B1275" s="2" t="s">
        <v>2</v>
      </c>
      <c r="C1275" s="2">
        <v>600</v>
      </c>
      <c r="D1275" s="3" t="s">
        <v>110</v>
      </c>
      <c r="E1275" s="3">
        <v>20</v>
      </c>
    </row>
    <row r="1276" spans="1:5" x14ac:dyDescent="0.15">
      <c r="A1276" s="2" t="s">
        <v>4</v>
      </c>
      <c r="B1276" s="2" t="s">
        <v>2</v>
      </c>
      <c r="C1276" s="2">
        <v>600</v>
      </c>
      <c r="D1276" s="3" t="s">
        <v>137</v>
      </c>
      <c r="E1276" s="3">
        <v>22</v>
      </c>
    </row>
    <row r="1277" spans="1:5" x14ac:dyDescent="0.15">
      <c r="A1277" s="2" t="s">
        <v>4</v>
      </c>
      <c r="B1277" s="2" t="s">
        <v>2</v>
      </c>
      <c r="C1277" s="2">
        <v>600</v>
      </c>
      <c r="D1277" s="3" t="s">
        <v>138</v>
      </c>
      <c r="E1277" s="3">
        <v>24</v>
      </c>
    </row>
    <row r="1278" spans="1:5" x14ac:dyDescent="0.15">
      <c r="A1278" s="2" t="s">
        <v>4</v>
      </c>
      <c r="B1278" s="2" t="s">
        <v>2</v>
      </c>
      <c r="C1278" s="2">
        <v>700</v>
      </c>
      <c r="D1278" s="3" t="s">
        <v>125</v>
      </c>
      <c r="E1278" s="3">
        <v>6</v>
      </c>
    </row>
    <row r="1279" spans="1:5" x14ac:dyDescent="0.15">
      <c r="A1279" s="2" t="s">
        <v>4</v>
      </c>
      <c r="B1279" s="2" t="s">
        <v>2</v>
      </c>
      <c r="C1279" s="2">
        <v>700</v>
      </c>
      <c r="D1279" s="3" t="s">
        <v>127</v>
      </c>
      <c r="E1279" s="3">
        <v>7</v>
      </c>
    </row>
    <row r="1280" spans="1:5" x14ac:dyDescent="0.15">
      <c r="A1280" s="2" t="s">
        <v>4</v>
      </c>
      <c r="B1280" s="2" t="s">
        <v>2</v>
      </c>
      <c r="C1280" s="2">
        <v>700</v>
      </c>
      <c r="D1280" s="3" t="s">
        <v>102</v>
      </c>
      <c r="E1280" s="3">
        <v>8</v>
      </c>
    </row>
    <row r="1281" spans="1:5" x14ac:dyDescent="0.15">
      <c r="A1281" s="2" t="s">
        <v>4</v>
      </c>
      <c r="B1281" s="2" t="s">
        <v>2</v>
      </c>
      <c r="C1281" s="2">
        <v>700</v>
      </c>
      <c r="D1281" s="3" t="s">
        <v>130</v>
      </c>
      <c r="E1281" s="3">
        <v>9</v>
      </c>
    </row>
    <row r="1282" spans="1:5" x14ac:dyDescent="0.15">
      <c r="A1282" s="2" t="s">
        <v>4</v>
      </c>
      <c r="B1282" s="2" t="s">
        <v>2</v>
      </c>
      <c r="C1282" s="2">
        <v>700</v>
      </c>
      <c r="D1282" s="3" t="s">
        <v>104</v>
      </c>
      <c r="E1282" s="3">
        <v>10</v>
      </c>
    </row>
    <row r="1283" spans="1:5" x14ac:dyDescent="0.15">
      <c r="A1283" s="2" t="s">
        <v>4</v>
      </c>
      <c r="B1283" s="2" t="s">
        <v>2</v>
      </c>
      <c r="C1283" s="2">
        <v>700</v>
      </c>
      <c r="D1283" s="3" t="s">
        <v>105</v>
      </c>
      <c r="E1283" s="3">
        <v>11</v>
      </c>
    </row>
    <row r="1284" spans="1:5" x14ac:dyDescent="0.15">
      <c r="A1284" s="2" t="s">
        <v>4</v>
      </c>
      <c r="B1284" s="2" t="s">
        <v>2</v>
      </c>
      <c r="C1284" s="2">
        <v>700</v>
      </c>
      <c r="D1284" s="3" t="s">
        <v>132</v>
      </c>
      <c r="E1284" s="3">
        <v>12</v>
      </c>
    </row>
    <row r="1285" spans="1:5" x14ac:dyDescent="0.15">
      <c r="A1285" s="2" t="s">
        <v>4</v>
      </c>
      <c r="B1285" s="2" t="s">
        <v>2</v>
      </c>
      <c r="C1285" s="2">
        <v>700</v>
      </c>
      <c r="D1285" s="3" t="s">
        <v>133</v>
      </c>
      <c r="E1285" s="3">
        <v>13</v>
      </c>
    </row>
    <row r="1286" spans="1:5" x14ac:dyDescent="0.15">
      <c r="A1286" s="2" t="s">
        <v>4</v>
      </c>
      <c r="B1286" s="2" t="s">
        <v>2</v>
      </c>
      <c r="C1286" s="2">
        <v>700</v>
      </c>
      <c r="D1286" s="3" t="s">
        <v>134</v>
      </c>
      <c r="E1286" s="3">
        <v>14</v>
      </c>
    </row>
    <row r="1287" spans="1:5" x14ac:dyDescent="0.15">
      <c r="A1287" s="2" t="s">
        <v>4</v>
      </c>
      <c r="B1287" s="2" t="s">
        <v>162</v>
      </c>
      <c r="C1287" s="2">
        <v>700</v>
      </c>
      <c r="D1287" s="3" t="s">
        <v>135</v>
      </c>
      <c r="E1287" s="3">
        <v>15</v>
      </c>
    </row>
    <row r="1288" spans="1:5" x14ac:dyDescent="0.15">
      <c r="A1288" s="2" t="s">
        <v>94</v>
      </c>
      <c r="B1288" s="2" t="s">
        <v>2</v>
      </c>
      <c r="C1288" s="2">
        <v>800</v>
      </c>
      <c r="D1288" s="3" t="s">
        <v>125</v>
      </c>
      <c r="E1288" s="3">
        <v>6</v>
      </c>
    </row>
    <row r="1289" spans="1:5" x14ac:dyDescent="0.15">
      <c r="A1289" s="2" t="s">
        <v>4</v>
      </c>
      <c r="B1289" s="2" t="s">
        <v>2</v>
      </c>
      <c r="C1289" s="2">
        <v>800</v>
      </c>
      <c r="D1289" s="3" t="s">
        <v>127</v>
      </c>
      <c r="E1289" s="3">
        <v>7</v>
      </c>
    </row>
    <row r="1290" spans="1:5" x14ac:dyDescent="0.15">
      <c r="A1290" s="2" t="s">
        <v>4</v>
      </c>
      <c r="B1290" s="2" t="s">
        <v>2</v>
      </c>
      <c r="C1290" s="2">
        <v>800</v>
      </c>
      <c r="D1290" s="3" t="s">
        <v>102</v>
      </c>
      <c r="E1290" s="3">
        <v>8</v>
      </c>
    </row>
    <row r="1291" spans="1:5" x14ac:dyDescent="0.15">
      <c r="A1291" s="2" t="s">
        <v>4</v>
      </c>
      <c r="B1291" s="2" t="s">
        <v>2</v>
      </c>
      <c r="C1291" s="2">
        <v>800</v>
      </c>
      <c r="D1291" s="3" t="s">
        <v>130</v>
      </c>
      <c r="E1291" s="3">
        <v>9</v>
      </c>
    </row>
    <row r="1292" spans="1:5" x14ac:dyDescent="0.15">
      <c r="A1292" s="2" t="s">
        <v>4</v>
      </c>
      <c r="B1292" s="2" t="s">
        <v>2</v>
      </c>
      <c r="C1292" s="2">
        <v>800</v>
      </c>
      <c r="D1292" s="3" t="s">
        <v>104</v>
      </c>
      <c r="E1292" s="3">
        <v>10</v>
      </c>
    </row>
    <row r="1293" spans="1:5" x14ac:dyDescent="0.15">
      <c r="A1293" s="2" t="s">
        <v>4</v>
      </c>
      <c r="B1293" s="2" t="s">
        <v>2</v>
      </c>
      <c r="C1293" s="2">
        <v>800</v>
      </c>
      <c r="D1293" s="3" t="s">
        <v>105</v>
      </c>
      <c r="E1293" s="3">
        <v>11</v>
      </c>
    </row>
    <row r="1294" spans="1:5" x14ac:dyDescent="0.15">
      <c r="A1294" s="2" t="s">
        <v>4</v>
      </c>
      <c r="B1294" s="2" t="s">
        <v>2</v>
      </c>
      <c r="C1294" s="2">
        <v>800</v>
      </c>
      <c r="D1294" s="3" t="s">
        <v>132</v>
      </c>
      <c r="E1294" s="3">
        <v>12</v>
      </c>
    </row>
    <row r="1295" spans="1:5" x14ac:dyDescent="0.15">
      <c r="A1295" s="2" t="s">
        <v>4</v>
      </c>
      <c r="B1295" s="2" t="s">
        <v>2</v>
      </c>
      <c r="C1295" s="2">
        <v>800</v>
      </c>
      <c r="D1295" s="3" t="s">
        <v>133</v>
      </c>
      <c r="E1295" s="3">
        <v>13</v>
      </c>
    </row>
    <row r="1296" spans="1:5" x14ac:dyDescent="0.15">
      <c r="A1296" s="2" t="s">
        <v>4</v>
      </c>
      <c r="B1296" s="2" t="s">
        <v>2</v>
      </c>
      <c r="C1296" s="2">
        <v>800</v>
      </c>
      <c r="D1296" s="3" t="s">
        <v>134</v>
      </c>
      <c r="E1296" s="3">
        <v>14</v>
      </c>
    </row>
    <row r="1297" spans="1:5" x14ac:dyDescent="0.15">
      <c r="A1297" s="2" t="s">
        <v>4</v>
      </c>
      <c r="B1297" s="2" t="s">
        <v>2</v>
      </c>
      <c r="C1297" s="2">
        <v>800</v>
      </c>
      <c r="D1297" s="3" t="s">
        <v>135</v>
      </c>
      <c r="E1297" s="3">
        <v>15</v>
      </c>
    </row>
    <row r="1298" spans="1:5" x14ac:dyDescent="0.15">
      <c r="A1298" s="2" t="s">
        <v>4</v>
      </c>
      <c r="B1298" s="2" t="s">
        <v>2</v>
      </c>
      <c r="C1298" s="2">
        <v>800</v>
      </c>
      <c r="D1298" s="3" t="s">
        <v>108</v>
      </c>
      <c r="E1298" s="3">
        <v>16</v>
      </c>
    </row>
    <row r="1299" spans="1:5" x14ac:dyDescent="0.15">
      <c r="A1299" s="2" t="s">
        <v>4</v>
      </c>
      <c r="B1299" s="2" t="s">
        <v>2</v>
      </c>
      <c r="C1299" s="2">
        <v>900</v>
      </c>
      <c r="D1299" s="3" t="s">
        <v>125</v>
      </c>
      <c r="E1299" s="3">
        <v>6</v>
      </c>
    </row>
    <row r="1300" spans="1:5" x14ac:dyDescent="0.15">
      <c r="A1300" s="2" t="s">
        <v>4</v>
      </c>
      <c r="B1300" s="2" t="s">
        <v>2</v>
      </c>
      <c r="C1300" s="2">
        <v>900</v>
      </c>
      <c r="D1300" s="3" t="s">
        <v>127</v>
      </c>
      <c r="E1300" s="3">
        <v>7</v>
      </c>
    </row>
    <row r="1301" spans="1:5" x14ac:dyDescent="0.15">
      <c r="A1301" s="2" t="s">
        <v>4</v>
      </c>
      <c r="B1301" s="2" t="s">
        <v>2</v>
      </c>
      <c r="C1301" s="2">
        <v>900</v>
      </c>
      <c r="D1301" s="3" t="s">
        <v>102</v>
      </c>
      <c r="E1301" s="3">
        <v>8</v>
      </c>
    </row>
    <row r="1302" spans="1:5" x14ac:dyDescent="0.15">
      <c r="A1302" s="2" t="s">
        <v>4</v>
      </c>
      <c r="B1302" s="2" t="s">
        <v>2</v>
      </c>
      <c r="C1302" s="2">
        <v>900</v>
      </c>
      <c r="D1302" s="3" t="s">
        <v>130</v>
      </c>
      <c r="E1302" s="3">
        <v>9</v>
      </c>
    </row>
    <row r="1303" spans="1:5" x14ac:dyDescent="0.15">
      <c r="A1303" s="2" t="s">
        <v>4</v>
      </c>
      <c r="B1303" s="2" t="s">
        <v>2</v>
      </c>
      <c r="C1303" s="2">
        <v>900</v>
      </c>
      <c r="D1303" s="3" t="s">
        <v>104</v>
      </c>
      <c r="E1303" s="3">
        <v>10</v>
      </c>
    </row>
    <row r="1304" spans="1:5" x14ac:dyDescent="0.15">
      <c r="A1304" s="2" t="s">
        <v>4</v>
      </c>
      <c r="B1304" s="2" t="s">
        <v>2</v>
      </c>
      <c r="C1304" s="2">
        <v>900</v>
      </c>
      <c r="D1304" s="3" t="s">
        <v>105</v>
      </c>
      <c r="E1304" s="3">
        <v>11</v>
      </c>
    </row>
    <row r="1305" spans="1:5" x14ac:dyDescent="0.15">
      <c r="A1305" s="2" t="s">
        <v>4</v>
      </c>
      <c r="B1305" s="2" t="s">
        <v>2</v>
      </c>
      <c r="C1305" s="2">
        <v>900</v>
      </c>
      <c r="D1305" s="3" t="s">
        <v>132</v>
      </c>
      <c r="E1305" s="3">
        <v>12</v>
      </c>
    </row>
    <row r="1306" spans="1:5" x14ac:dyDescent="0.15">
      <c r="A1306" s="2" t="s">
        <v>4</v>
      </c>
      <c r="B1306" s="2" t="s">
        <v>2</v>
      </c>
      <c r="C1306" s="2">
        <v>900</v>
      </c>
      <c r="D1306" s="3" t="s">
        <v>133</v>
      </c>
      <c r="E1306" s="3">
        <v>13</v>
      </c>
    </row>
    <row r="1307" spans="1:5" x14ac:dyDescent="0.15">
      <c r="A1307" s="2" t="s">
        <v>4</v>
      </c>
      <c r="B1307" s="2" t="s">
        <v>2</v>
      </c>
      <c r="C1307" s="2">
        <v>900</v>
      </c>
      <c r="D1307" s="3" t="s">
        <v>134</v>
      </c>
      <c r="E1307" s="3">
        <v>14</v>
      </c>
    </row>
    <row r="1308" spans="1:5" x14ac:dyDescent="0.15">
      <c r="A1308" s="2" t="s">
        <v>4</v>
      </c>
      <c r="B1308" s="2" t="s">
        <v>2</v>
      </c>
      <c r="C1308" s="2">
        <v>900</v>
      </c>
      <c r="D1308" s="3" t="s">
        <v>135</v>
      </c>
      <c r="E1308" s="3">
        <v>15</v>
      </c>
    </row>
    <row r="1309" spans="1:5" x14ac:dyDescent="0.15">
      <c r="A1309" s="2" t="s">
        <v>4</v>
      </c>
      <c r="B1309" s="2" t="s">
        <v>2</v>
      </c>
      <c r="C1309" s="2">
        <v>900</v>
      </c>
      <c r="D1309" s="3" t="s">
        <v>108</v>
      </c>
      <c r="E1309" s="3">
        <v>16</v>
      </c>
    </row>
    <row r="1310" spans="1:5" x14ac:dyDescent="0.15">
      <c r="A1310" s="2" t="s">
        <v>4</v>
      </c>
      <c r="B1310" s="2" t="s">
        <v>2</v>
      </c>
      <c r="C1310" s="2">
        <v>1000</v>
      </c>
      <c r="D1310" s="3" t="s">
        <v>125</v>
      </c>
      <c r="E1310" s="3">
        <v>6</v>
      </c>
    </row>
    <row r="1311" spans="1:5" x14ac:dyDescent="0.15">
      <c r="A1311" s="2" t="s">
        <v>4</v>
      </c>
      <c r="B1311" s="2" t="s">
        <v>2</v>
      </c>
      <c r="C1311" s="2">
        <v>1000</v>
      </c>
      <c r="D1311" s="3" t="s">
        <v>127</v>
      </c>
      <c r="E1311" s="3">
        <v>7</v>
      </c>
    </row>
    <row r="1312" spans="1:5" x14ac:dyDescent="0.15">
      <c r="A1312" s="2" t="s">
        <v>4</v>
      </c>
      <c r="B1312" s="2" t="s">
        <v>2</v>
      </c>
      <c r="C1312" s="2">
        <v>1000</v>
      </c>
      <c r="D1312" s="3" t="s">
        <v>102</v>
      </c>
      <c r="E1312" s="3">
        <v>8</v>
      </c>
    </row>
    <row r="1313" spans="1:5" x14ac:dyDescent="0.15">
      <c r="A1313" s="2" t="s">
        <v>4</v>
      </c>
      <c r="B1313" s="2" t="s">
        <v>2</v>
      </c>
      <c r="C1313" s="2">
        <v>1000</v>
      </c>
      <c r="D1313" s="3" t="s">
        <v>130</v>
      </c>
      <c r="E1313" s="3">
        <v>9</v>
      </c>
    </row>
    <row r="1314" spans="1:5" x14ac:dyDescent="0.15">
      <c r="A1314" s="2" t="s">
        <v>4</v>
      </c>
      <c r="B1314" s="2" t="s">
        <v>2</v>
      </c>
      <c r="C1314" s="2">
        <v>1000</v>
      </c>
      <c r="D1314" s="3" t="s">
        <v>104</v>
      </c>
      <c r="E1314" s="3">
        <v>10</v>
      </c>
    </row>
    <row r="1315" spans="1:5" x14ac:dyDescent="0.15">
      <c r="A1315" s="2" t="s">
        <v>4</v>
      </c>
      <c r="B1315" s="2" t="s">
        <v>2</v>
      </c>
      <c r="C1315" s="2">
        <v>1000</v>
      </c>
      <c r="D1315" s="3" t="s">
        <v>105</v>
      </c>
      <c r="E1315" s="3">
        <v>11</v>
      </c>
    </row>
    <row r="1316" spans="1:5" x14ac:dyDescent="0.15">
      <c r="A1316" s="2" t="s">
        <v>4</v>
      </c>
      <c r="B1316" s="2" t="s">
        <v>2</v>
      </c>
      <c r="C1316" s="2">
        <v>1000</v>
      </c>
      <c r="D1316" s="3" t="s">
        <v>132</v>
      </c>
      <c r="E1316" s="3">
        <v>12</v>
      </c>
    </row>
    <row r="1317" spans="1:5" x14ac:dyDescent="0.15">
      <c r="A1317" s="2" t="s">
        <v>4</v>
      </c>
      <c r="B1317" s="2" t="s">
        <v>2</v>
      </c>
      <c r="C1317" s="2">
        <v>1000</v>
      </c>
      <c r="D1317" s="3" t="s">
        <v>133</v>
      </c>
      <c r="E1317" s="3">
        <v>13</v>
      </c>
    </row>
    <row r="1318" spans="1:5" x14ac:dyDescent="0.15">
      <c r="A1318" s="2" t="s">
        <v>4</v>
      </c>
      <c r="B1318" s="2" t="s">
        <v>2</v>
      </c>
      <c r="C1318" s="2">
        <v>1000</v>
      </c>
      <c r="D1318" s="3" t="s">
        <v>134</v>
      </c>
      <c r="E1318" s="3">
        <v>14</v>
      </c>
    </row>
    <row r="1319" spans="1:5" x14ac:dyDescent="0.15">
      <c r="A1319" s="2" t="s">
        <v>4</v>
      </c>
      <c r="B1319" s="2" t="s">
        <v>2</v>
      </c>
      <c r="C1319" s="2">
        <v>1000</v>
      </c>
      <c r="D1319" s="3" t="s">
        <v>135</v>
      </c>
      <c r="E1319" s="3">
        <v>15</v>
      </c>
    </row>
    <row r="1320" spans="1:5" x14ac:dyDescent="0.15">
      <c r="A1320" s="2" t="s">
        <v>4</v>
      </c>
      <c r="B1320" s="2" t="s">
        <v>2</v>
      </c>
      <c r="C1320" s="2">
        <v>1000</v>
      </c>
      <c r="D1320" s="3" t="s">
        <v>108</v>
      </c>
      <c r="E1320" s="3">
        <v>16</v>
      </c>
    </row>
    <row r="1321" spans="1:5" x14ac:dyDescent="0.15">
      <c r="A1321" s="2" t="s">
        <v>4</v>
      </c>
      <c r="B1321" s="2" t="s">
        <v>2</v>
      </c>
      <c r="C1321" s="2">
        <v>1200</v>
      </c>
      <c r="D1321" s="3" t="s">
        <v>127</v>
      </c>
      <c r="E1321" s="3">
        <v>7</v>
      </c>
    </row>
    <row r="1322" spans="1:5" x14ac:dyDescent="0.15">
      <c r="A1322" s="2" t="s">
        <v>4</v>
      </c>
      <c r="B1322" s="2" t="s">
        <v>2</v>
      </c>
      <c r="C1322" s="2">
        <v>1200</v>
      </c>
      <c r="D1322" s="3" t="s">
        <v>102</v>
      </c>
      <c r="E1322" s="3">
        <v>8</v>
      </c>
    </row>
    <row r="1323" spans="1:5" x14ac:dyDescent="0.15">
      <c r="A1323" s="2" t="s">
        <v>4</v>
      </c>
      <c r="B1323" s="2" t="s">
        <v>2</v>
      </c>
      <c r="C1323" s="2">
        <v>1200</v>
      </c>
      <c r="D1323" s="3" t="s">
        <v>130</v>
      </c>
      <c r="E1323" s="3">
        <v>9</v>
      </c>
    </row>
    <row r="1324" spans="1:5" x14ac:dyDescent="0.15">
      <c r="A1324" s="2" t="s">
        <v>4</v>
      </c>
      <c r="B1324" s="2" t="s">
        <v>2</v>
      </c>
      <c r="C1324" s="2">
        <v>1200</v>
      </c>
      <c r="D1324" s="3" t="s">
        <v>104</v>
      </c>
      <c r="E1324" s="3">
        <v>10</v>
      </c>
    </row>
    <row r="1325" spans="1:5" x14ac:dyDescent="0.15">
      <c r="A1325" s="2" t="s">
        <v>4</v>
      </c>
      <c r="B1325" s="2" t="s">
        <v>2</v>
      </c>
      <c r="C1325" s="2">
        <v>1200</v>
      </c>
      <c r="D1325" s="3" t="s">
        <v>105</v>
      </c>
      <c r="E1325" s="3">
        <v>11</v>
      </c>
    </row>
    <row r="1326" spans="1:5" x14ac:dyDescent="0.15">
      <c r="A1326" s="2" t="s">
        <v>4</v>
      </c>
      <c r="B1326" s="2" t="s">
        <v>2</v>
      </c>
      <c r="C1326" s="2">
        <v>1200</v>
      </c>
      <c r="D1326" s="3" t="s">
        <v>132</v>
      </c>
      <c r="E1326" s="3">
        <v>12</v>
      </c>
    </row>
    <row r="1327" spans="1:5" x14ac:dyDescent="0.15">
      <c r="A1327" s="2" t="s">
        <v>4</v>
      </c>
      <c r="B1327" s="2" t="s">
        <v>2</v>
      </c>
      <c r="C1327" s="2">
        <v>1200</v>
      </c>
      <c r="D1327" s="3" t="s">
        <v>133</v>
      </c>
      <c r="E1327" s="3">
        <v>13</v>
      </c>
    </row>
    <row r="1328" spans="1:5" x14ac:dyDescent="0.15">
      <c r="A1328" s="2" t="s">
        <v>4</v>
      </c>
      <c r="B1328" s="2" t="s">
        <v>2</v>
      </c>
      <c r="C1328" s="2">
        <v>1200</v>
      </c>
      <c r="D1328" s="3" t="s">
        <v>134</v>
      </c>
      <c r="E1328" s="3">
        <v>14</v>
      </c>
    </row>
    <row r="1329" spans="1:5" x14ac:dyDescent="0.15">
      <c r="A1329" s="2" t="s">
        <v>4</v>
      </c>
      <c r="B1329" s="2" t="s">
        <v>2</v>
      </c>
      <c r="C1329" s="2">
        <v>1200</v>
      </c>
      <c r="D1329" s="3" t="s">
        <v>135</v>
      </c>
      <c r="E1329" s="3">
        <v>15</v>
      </c>
    </row>
    <row r="1330" spans="1:5" x14ac:dyDescent="0.15">
      <c r="A1330" s="2" t="s">
        <v>4</v>
      </c>
      <c r="B1330" s="2" t="s">
        <v>2</v>
      </c>
      <c r="C1330" s="2">
        <v>1200</v>
      </c>
      <c r="D1330" s="3" t="s">
        <v>108</v>
      </c>
      <c r="E1330" s="3">
        <v>16</v>
      </c>
    </row>
    <row r="1331" spans="1:5" x14ac:dyDescent="0.15">
      <c r="A1331" s="2" t="s">
        <v>4</v>
      </c>
      <c r="B1331" s="2" t="s">
        <v>2</v>
      </c>
      <c r="C1331" s="2">
        <v>1400</v>
      </c>
      <c r="D1331" s="3" t="s">
        <v>127</v>
      </c>
      <c r="E1331" s="3">
        <v>7</v>
      </c>
    </row>
    <row r="1332" spans="1:5" x14ac:dyDescent="0.15">
      <c r="A1332" s="2" t="s">
        <v>4</v>
      </c>
      <c r="B1332" s="2" t="s">
        <v>2</v>
      </c>
      <c r="C1332" s="2">
        <v>1400</v>
      </c>
      <c r="D1332" s="3" t="s">
        <v>102</v>
      </c>
      <c r="E1332" s="3">
        <v>8</v>
      </c>
    </row>
    <row r="1333" spans="1:5" x14ac:dyDescent="0.15">
      <c r="A1333" s="2" t="s">
        <v>4</v>
      </c>
      <c r="B1333" s="2" t="s">
        <v>2</v>
      </c>
      <c r="C1333" s="2">
        <v>1400</v>
      </c>
      <c r="D1333" s="3" t="s">
        <v>130</v>
      </c>
      <c r="E1333" s="3">
        <v>9</v>
      </c>
    </row>
    <row r="1334" spans="1:5" x14ac:dyDescent="0.15">
      <c r="A1334" s="2" t="s">
        <v>4</v>
      </c>
      <c r="B1334" s="2" t="s">
        <v>2</v>
      </c>
      <c r="C1334" s="2">
        <v>1400</v>
      </c>
      <c r="D1334" s="3" t="s">
        <v>104</v>
      </c>
      <c r="E1334" s="3">
        <v>10</v>
      </c>
    </row>
    <row r="1335" spans="1:5" x14ac:dyDescent="0.15">
      <c r="A1335" s="2" t="s">
        <v>4</v>
      </c>
      <c r="B1335" s="2" t="s">
        <v>2</v>
      </c>
      <c r="C1335" s="2">
        <v>1400</v>
      </c>
      <c r="D1335" s="3" t="s">
        <v>105</v>
      </c>
      <c r="E1335" s="3">
        <v>11</v>
      </c>
    </row>
    <row r="1336" spans="1:5" x14ac:dyDescent="0.15">
      <c r="A1336" s="2" t="s">
        <v>4</v>
      </c>
      <c r="B1336" s="2" t="s">
        <v>2</v>
      </c>
      <c r="C1336" s="2">
        <v>1400</v>
      </c>
      <c r="D1336" s="3" t="s">
        <v>132</v>
      </c>
      <c r="E1336" s="3">
        <v>12</v>
      </c>
    </row>
    <row r="1337" spans="1:5" x14ac:dyDescent="0.15">
      <c r="A1337" s="2" t="s">
        <v>4</v>
      </c>
      <c r="B1337" s="2" t="s">
        <v>2</v>
      </c>
      <c r="C1337" s="2">
        <v>1400</v>
      </c>
      <c r="D1337" s="3" t="s">
        <v>133</v>
      </c>
      <c r="E1337" s="3">
        <v>13</v>
      </c>
    </row>
    <row r="1338" spans="1:5" x14ac:dyDescent="0.15">
      <c r="A1338" s="2" t="s">
        <v>4</v>
      </c>
      <c r="B1338" s="2" t="s">
        <v>2</v>
      </c>
      <c r="C1338" s="2">
        <v>1400</v>
      </c>
      <c r="D1338" s="3" t="s">
        <v>134</v>
      </c>
      <c r="E1338" s="3">
        <v>14</v>
      </c>
    </row>
    <row r="1339" spans="1:5" x14ac:dyDescent="0.15">
      <c r="A1339" s="2" t="s">
        <v>4</v>
      </c>
      <c r="B1339" s="2" t="s">
        <v>2</v>
      </c>
      <c r="C1339" s="2">
        <v>1400</v>
      </c>
      <c r="D1339" s="3" t="s">
        <v>135</v>
      </c>
      <c r="E1339" s="3">
        <v>15</v>
      </c>
    </row>
    <row r="1340" spans="1:5" x14ac:dyDescent="0.15">
      <c r="A1340" s="2" t="s">
        <v>4</v>
      </c>
      <c r="B1340" s="2" t="s">
        <v>2</v>
      </c>
      <c r="C1340" s="2">
        <v>1400</v>
      </c>
      <c r="D1340" s="3" t="s">
        <v>108</v>
      </c>
      <c r="E1340" s="3">
        <v>16</v>
      </c>
    </row>
    <row r="1341" spans="1:5" x14ac:dyDescent="0.15">
      <c r="A1341" s="2" t="s">
        <v>4</v>
      </c>
      <c r="B1341" s="2" t="s">
        <v>2</v>
      </c>
      <c r="C1341" s="2">
        <v>1600</v>
      </c>
      <c r="D1341" s="3" t="s">
        <v>127</v>
      </c>
      <c r="E1341" s="3">
        <v>7</v>
      </c>
    </row>
    <row r="1342" spans="1:5" x14ac:dyDescent="0.15">
      <c r="A1342" s="2" t="s">
        <v>4</v>
      </c>
      <c r="B1342" s="2" t="s">
        <v>2</v>
      </c>
      <c r="C1342" s="2">
        <v>1600</v>
      </c>
      <c r="D1342" s="3" t="s">
        <v>102</v>
      </c>
      <c r="E1342" s="3">
        <v>8</v>
      </c>
    </row>
    <row r="1343" spans="1:5" x14ac:dyDescent="0.15">
      <c r="A1343" s="2" t="s">
        <v>4</v>
      </c>
      <c r="B1343" s="2" t="s">
        <v>2</v>
      </c>
      <c r="C1343" s="2">
        <v>1600</v>
      </c>
      <c r="D1343" s="3" t="s">
        <v>130</v>
      </c>
      <c r="E1343" s="3">
        <v>9</v>
      </c>
    </row>
    <row r="1344" spans="1:5" x14ac:dyDescent="0.15">
      <c r="A1344" s="2" t="s">
        <v>4</v>
      </c>
      <c r="B1344" s="2" t="s">
        <v>2</v>
      </c>
      <c r="C1344" s="2">
        <v>1600</v>
      </c>
      <c r="D1344" s="3" t="s">
        <v>104</v>
      </c>
      <c r="E1344" s="3">
        <v>10</v>
      </c>
    </row>
    <row r="1345" spans="1:5" x14ac:dyDescent="0.15">
      <c r="A1345" s="2" t="s">
        <v>4</v>
      </c>
      <c r="B1345" s="2" t="s">
        <v>2</v>
      </c>
      <c r="C1345" s="2">
        <v>1600</v>
      </c>
      <c r="D1345" s="3" t="s">
        <v>105</v>
      </c>
      <c r="E1345" s="3">
        <v>11</v>
      </c>
    </row>
    <row r="1346" spans="1:5" x14ac:dyDescent="0.15">
      <c r="A1346" s="2" t="s">
        <v>4</v>
      </c>
      <c r="B1346" s="2" t="s">
        <v>2</v>
      </c>
      <c r="C1346" s="2">
        <v>1600</v>
      </c>
      <c r="D1346" s="3" t="s">
        <v>132</v>
      </c>
      <c r="E1346" s="3">
        <v>12</v>
      </c>
    </row>
    <row r="1347" spans="1:5" x14ac:dyDescent="0.15">
      <c r="A1347" s="2" t="s">
        <v>4</v>
      </c>
      <c r="B1347" s="2" t="s">
        <v>2</v>
      </c>
      <c r="C1347" s="2">
        <v>1600</v>
      </c>
      <c r="D1347" s="3" t="s">
        <v>133</v>
      </c>
      <c r="E1347" s="3">
        <v>13</v>
      </c>
    </row>
    <row r="1348" spans="1:5" x14ac:dyDescent="0.15">
      <c r="A1348" s="2" t="s">
        <v>4</v>
      </c>
      <c r="B1348" s="2" t="s">
        <v>2</v>
      </c>
      <c r="C1348" s="2">
        <v>1600</v>
      </c>
      <c r="D1348" s="3" t="s">
        <v>134</v>
      </c>
      <c r="E1348" s="3">
        <v>14</v>
      </c>
    </row>
    <row r="1349" spans="1:5" x14ac:dyDescent="0.15">
      <c r="A1349" s="2" t="s">
        <v>4</v>
      </c>
      <c r="B1349" s="2" t="s">
        <v>2</v>
      </c>
      <c r="C1349" s="2">
        <v>1600</v>
      </c>
      <c r="D1349" s="3" t="s">
        <v>135</v>
      </c>
      <c r="E1349" s="3">
        <v>15</v>
      </c>
    </row>
    <row r="1350" spans="1:5" x14ac:dyDescent="0.15">
      <c r="A1350" s="2" t="s">
        <v>4</v>
      </c>
      <c r="B1350" s="2" t="s">
        <v>2</v>
      </c>
      <c r="C1350" s="2">
        <v>1600</v>
      </c>
      <c r="D1350" s="3" t="s">
        <v>108</v>
      </c>
      <c r="E1350" s="3">
        <v>16</v>
      </c>
    </row>
    <row r="1351" spans="1:5" x14ac:dyDescent="0.15">
      <c r="A1351" s="2" t="s">
        <v>4</v>
      </c>
      <c r="B1351" s="2" t="s">
        <v>2</v>
      </c>
      <c r="C1351" s="2">
        <v>1800</v>
      </c>
      <c r="D1351" s="3" t="s">
        <v>104</v>
      </c>
      <c r="E1351" s="3">
        <v>10</v>
      </c>
    </row>
    <row r="1352" spans="1:5" x14ac:dyDescent="0.15">
      <c r="A1352" s="2" t="s">
        <v>4</v>
      </c>
      <c r="B1352" s="2" t="s">
        <v>2</v>
      </c>
      <c r="C1352" s="2">
        <v>1800</v>
      </c>
      <c r="D1352" s="3" t="s">
        <v>105</v>
      </c>
      <c r="E1352" s="3">
        <v>11</v>
      </c>
    </row>
    <row r="1353" spans="1:5" x14ac:dyDescent="0.15">
      <c r="A1353" s="2" t="s">
        <v>4</v>
      </c>
      <c r="B1353" s="2" t="s">
        <v>2</v>
      </c>
      <c r="C1353" s="2">
        <v>1800</v>
      </c>
      <c r="D1353" s="3" t="s">
        <v>132</v>
      </c>
      <c r="E1353" s="3">
        <v>12</v>
      </c>
    </row>
    <row r="1354" spans="1:5" x14ac:dyDescent="0.15">
      <c r="A1354" s="2" t="s">
        <v>4</v>
      </c>
      <c r="B1354" s="2" t="s">
        <v>2</v>
      </c>
      <c r="C1354" s="2">
        <v>1800</v>
      </c>
      <c r="D1354" s="3" t="s">
        <v>133</v>
      </c>
      <c r="E1354" s="3">
        <v>13</v>
      </c>
    </row>
    <row r="1355" spans="1:5" x14ac:dyDescent="0.15">
      <c r="A1355" s="2" t="s">
        <v>4</v>
      </c>
      <c r="B1355" s="2" t="s">
        <v>2</v>
      </c>
      <c r="C1355" s="2">
        <v>1800</v>
      </c>
      <c r="D1355" s="3" t="s">
        <v>134</v>
      </c>
      <c r="E1355" s="3">
        <v>14</v>
      </c>
    </row>
    <row r="1356" spans="1:5" x14ac:dyDescent="0.15">
      <c r="A1356" s="2" t="s">
        <v>4</v>
      </c>
      <c r="B1356" s="2" t="s">
        <v>2</v>
      </c>
      <c r="C1356" s="2">
        <v>1800</v>
      </c>
      <c r="D1356" s="3" t="s">
        <v>135</v>
      </c>
      <c r="E1356" s="3">
        <v>15</v>
      </c>
    </row>
    <row r="1357" spans="1:5" x14ac:dyDescent="0.15">
      <c r="A1357" s="2" t="s">
        <v>4</v>
      </c>
      <c r="B1357" s="2" t="s">
        <v>2</v>
      </c>
      <c r="C1357" s="2">
        <v>1800</v>
      </c>
      <c r="D1357" s="3" t="s">
        <v>108</v>
      </c>
      <c r="E1357" s="3">
        <v>16</v>
      </c>
    </row>
    <row r="1358" spans="1:5" x14ac:dyDescent="0.15">
      <c r="A1358" s="2" t="s">
        <v>4</v>
      </c>
      <c r="B1358" s="2" t="s">
        <v>2</v>
      </c>
      <c r="C1358" s="2">
        <v>2000</v>
      </c>
      <c r="D1358" s="3" t="s">
        <v>104</v>
      </c>
      <c r="E1358" s="3">
        <v>10</v>
      </c>
    </row>
    <row r="1359" spans="1:5" x14ac:dyDescent="0.15">
      <c r="A1359" s="2" t="s">
        <v>4</v>
      </c>
      <c r="B1359" s="2" t="s">
        <v>2</v>
      </c>
      <c r="C1359" s="2">
        <v>2000</v>
      </c>
      <c r="D1359" s="3" t="s">
        <v>105</v>
      </c>
      <c r="E1359" s="3">
        <v>11</v>
      </c>
    </row>
    <row r="1360" spans="1:5" x14ac:dyDescent="0.15">
      <c r="A1360" s="2" t="s">
        <v>4</v>
      </c>
      <c r="B1360" s="2" t="s">
        <v>2</v>
      </c>
      <c r="C1360" s="2">
        <v>2000</v>
      </c>
      <c r="D1360" s="3" t="s">
        <v>132</v>
      </c>
      <c r="E1360" s="3">
        <v>12</v>
      </c>
    </row>
    <row r="1361" spans="1:5" x14ac:dyDescent="0.15">
      <c r="A1361" s="2" t="s">
        <v>4</v>
      </c>
      <c r="B1361" s="2" t="s">
        <v>2</v>
      </c>
      <c r="C1361" s="2">
        <v>2000</v>
      </c>
      <c r="D1361" s="3" t="s">
        <v>133</v>
      </c>
      <c r="E1361" s="3">
        <v>13</v>
      </c>
    </row>
    <row r="1362" spans="1:5" x14ac:dyDescent="0.15">
      <c r="A1362" s="2" t="s">
        <v>4</v>
      </c>
      <c r="B1362" s="2" t="s">
        <v>2</v>
      </c>
      <c r="C1362" s="2">
        <v>2000</v>
      </c>
      <c r="D1362" s="3" t="s">
        <v>134</v>
      </c>
      <c r="E1362" s="3">
        <v>14</v>
      </c>
    </row>
    <row r="1363" spans="1:5" x14ac:dyDescent="0.15">
      <c r="A1363" s="2" t="s">
        <v>4</v>
      </c>
      <c r="B1363" s="2" t="s">
        <v>2</v>
      </c>
      <c r="C1363" s="2">
        <v>2000</v>
      </c>
      <c r="D1363" s="3" t="s">
        <v>135</v>
      </c>
      <c r="E1363" s="3">
        <v>15</v>
      </c>
    </row>
    <row r="1364" spans="1:5" x14ac:dyDescent="0.15">
      <c r="A1364" s="2" t="s">
        <v>4</v>
      </c>
      <c r="B1364" s="2" t="s">
        <v>2</v>
      </c>
      <c r="C1364" s="2">
        <v>2000</v>
      </c>
      <c r="D1364" s="3" t="s">
        <v>108</v>
      </c>
      <c r="E1364" s="3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2"/>
  <sheetViews>
    <sheetView workbookViewId="0">
      <selection activeCell="I1" sqref="I1"/>
    </sheetView>
  </sheetViews>
  <sheetFormatPr defaultRowHeight="13.5" x14ac:dyDescent="0.15"/>
  <cols>
    <col min="1" max="1" width="17" style="1" customWidth="1"/>
    <col min="2" max="2" width="9" style="1" customWidth="1"/>
    <col min="3" max="3" width="7.375" style="1" customWidth="1"/>
    <col min="4" max="5" width="9" style="1"/>
    <col min="6" max="6" width="12.125" style="1" customWidth="1"/>
    <col min="7" max="8" width="9" style="1"/>
    <col min="9" max="9" width="6.125" style="18" customWidth="1"/>
    <col min="10" max="10" width="17.5" style="18" customWidth="1"/>
    <col min="11" max="11" width="4.625" style="18" customWidth="1"/>
    <col min="12" max="12" width="15.75" style="11" customWidth="1"/>
    <col min="13" max="13" width="17.875" style="18" customWidth="1"/>
    <col min="14" max="14" width="4.875" style="11" customWidth="1"/>
    <col min="15" max="16384" width="9" style="11"/>
  </cols>
  <sheetData>
    <row r="1" spans="1:14" x14ac:dyDescent="0.15">
      <c r="A1" s="1">
        <v>80</v>
      </c>
      <c r="B1" s="1">
        <v>7</v>
      </c>
    </row>
    <row r="2" spans="1:14" x14ac:dyDescent="0.15">
      <c r="A2" s="12" t="s">
        <v>7</v>
      </c>
      <c r="B2" s="12" t="s">
        <v>8</v>
      </c>
      <c r="C2" s="12" t="s">
        <v>9</v>
      </c>
      <c r="D2" s="12" t="s">
        <v>10</v>
      </c>
      <c r="E2" s="12" t="s">
        <v>90</v>
      </c>
      <c r="F2" s="12" t="s">
        <v>91</v>
      </c>
      <c r="G2" s="12" t="s">
        <v>89</v>
      </c>
      <c r="I2" s="22">
        <v>11</v>
      </c>
      <c r="J2" s="22" t="s">
        <v>4</v>
      </c>
    </row>
    <row r="3" spans="1:14" x14ac:dyDescent="0.15">
      <c r="A3" s="12" t="s">
        <v>93</v>
      </c>
      <c r="B3" s="6" t="s">
        <v>155</v>
      </c>
      <c r="C3" s="12">
        <v>10</v>
      </c>
      <c r="D3" s="7" t="str">
        <f>VLOOKUP(C3,PipeN!$B$3:$D$48,2,FALSE)</f>
        <v>3/8"</v>
      </c>
      <c r="E3" s="7">
        <f>VLOOKUP(C3,PipeN!$B$3:$D$48,3,FALSE)</f>
        <v>17.2</v>
      </c>
      <c r="F3" s="13"/>
      <c r="G3" s="12">
        <v>10</v>
      </c>
      <c r="I3" s="22">
        <v>12</v>
      </c>
      <c r="J3" s="22" t="s">
        <v>93</v>
      </c>
    </row>
    <row r="4" spans="1:14" x14ac:dyDescent="0.15">
      <c r="A4" s="12" t="s">
        <v>38</v>
      </c>
      <c r="B4" s="6" t="s">
        <v>155</v>
      </c>
      <c r="C4" s="12">
        <v>15</v>
      </c>
      <c r="D4" s="7" t="str">
        <f>VLOOKUP(C4,PipeN!$B$3:$D$48,2,FALSE)</f>
        <v>1/2"</v>
      </c>
      <c r="E4" s="7">
        <f>VLOOKUP(C4,PipeN!$B$3:$D$48,3,FALSE)</f>
        <v>21.3</v>
      </c>
      <c r="F4" s="13"/>
      <c r="G4" s="12">
        <v>10</v>
      </c>
      <c r="I4" s="13">
        <v>13</v>
      </c>
      <c r="J4" s="13" t="s">
        <v>92</v>
      </c>
    </row>
    <row r="5" spans="1:14" x14ac:dyDescent="0.15">
      <c r="A5" s="12" t="s">
        <v>38</v>
      </c>
      <c r="B5" s="6" t="s">
        <v>155</v>
      </c>
      <c r="C5" s="12">
        <v>20</v>
      </c>
      <c r="D5" s="7" t="str">
        <f>VLOOKUP(C5,PipeN!$B$3:$D$48,2,FALSE)</f>
        <v>3/4"</v>
      </c>
      <c r="E5" s="7">
        <f>VLOOKUP(C5,PipeN!$B$3:$D$48,3,FALSE)</f>
        <v>26.9</v>
      </c>
      <c r="F5" s="13"/>
      <c r="G5" s="12">
        <v>10</v>
      </c>
      <c r="I5" s="22">
        <v>14</v>
      </c>
      <c r="J5" s="22" t="s">
        <v>200</v>
      </c>
    </row>
    <row r="6" spans="1:14" x14ac:dyDescent="0.15">
      <c r="A6" s="12" t="s">
        <v>38</v>
      </c>
      <c r="B6" s="6" t="s">
        <v>155</v>
      </c>
      <c r="C6" s="12">
        <v>25</v>
      </c>
      <c r="D6" s="7" t="str">
        <f>VLOOKUP(C6,PipeN!$B$3:$D$48,2,FALSE)</f>
        <v>1"</v>
      </c>
      <c r="E6" s="7">
        <f>VLOOKUP(C6,PipeN!$B$3:$D$48,3,FALSE)</f>
        <v>33.700000000000003</v>
      </c>
      <c r="F6" s="13"/>
      <c r="G6" s="12">
        <v>14</v>
      </c>
      <c r="L6" s="22" t="s">
        <v>223</v>
      </c>
      <c r="M6" s="22" t="s">
        <v>231</v>
      </c>
      <c r="N6" s="22">
        <v>0</v>
      </c>
    </row>
    <row r="7" spans="1:14" x14ac:dyDescent="0.15">
      <c r="A7" s="12" t="s">
        <v>38</v>
      </c>
      <c r="B7" s="6" t="s">
        <v>155</v>
      </c>
      <c r="C7" s="12">
        <v>32</v>
      </c>
      <c r="D7" s="7" t="str">
        <f>VLOOKUP(C7,PipeN!$B$3:$D$48,2,FALSE)</f>
        <v>1 1/4"</v>
      </c>
      <c r="E7" s="7">
        <f>VLOOKUP(C7,PipeN!$B$3:$D$48,3,FALSE)</f>
        <v>42.4</v>
      </c>
      <c r="F7" s="13"/>
      <c r="G7" s="12">
        <v>14</v>
      </c>
      <c r="I7" s="22">
        <v>21</v>
      </c>
      <c r="J7" s="22" t="s">
        <v>202</v>
      </c>
      <c r="L7" s="22" t="s">
        <v>224</v>
      </c>
      <c r="M7" s="22" t="s">
        <v>232</v>
      </c>
      <c r="N7" s="22">
        <v>1</v>
      </c>
    </row>
    <row r="8" spans="1:14" x14ac:dyDescent="0.15">
      <c r="A8" s="12" t="s">
        <v>38</v>
      </c>
      <c r="B8" s="6" t="s">
        <v>155</v>
      </c>
      <c r="C8" s="12">
        <v>40</v>
      </c>
      <c r="D8" s="7" t="str">
        <f>VLOOKUP(C8,PipeN!$B$3:$D$48,2,FALSE)</f>
        <v>1 1/2"</v>
      </c>
      <c r="E8" s="7">
        <f>VLOOKUP(C8,PipeN!$B$3:$D$48,3,FALSE)</f>
        <v>48.3</v>
      </c>
      <c r="F8" s="13"/>
      <c r="G8" s="12">
        <v>16</v>
      </c>
      <c r="I8" s="22">
        <v>22</v>
      </c>
      <c r="J8" s="22" t="s">
        <v>203</v>
      </c>
      <c r="L8" s="22" t="s">
        <v>226</v>
      </c>
      <c r="M8" s="22" t="s">
        <v>83</v>
      </c>
      <c r="N8" s="22">
        <v>2</v>
      </c>
    </row>
    <row r="9" spans="1:14" x14ac:dyDescent="0.15">
      <c r="A9" s="12" t="s">
        <v>38</v>
      </c>
      <c r="B9" s="6" t="s">
        <v>155</v>
      </c>
      <c r="C9" s="12">
        <v>50</v>
      </c>
      <c r="D9" s="7" t="str">
        <f>VLOOKUP(C9,PipeN!$B$3:$D$48,2,FALSE)</f>
        <v>2"</v>
      </c>
      <c r="E9" s="7">
        <f>VLOOKUP(C9,PipeN!$B$3:$D$48,3,FALSE)</f>
        <v>60.3</v>
      </c>
      <c r="F9" s="13"/>
      <c r="G9" s="12">
        <v>16</v>
      </c>
      <c r="I9" s="22">
        <v>23</v>
      </c>
      <c r="J9" s="22" t="s">
        <v>204</v>
      </c>
      <c r="L9" s="22" t="s">
        <v>225</v>
      </c>
      <c r="M9" s="22">
        <v>250</v>
      </c>
      <c r="N9" s="22">
        <v>3</v>
      </c>
    </row>
    <row r="10" spans="1:14" s="1" customFormat="1" x14ac:dyDescent="0.15">
      <c r="A10" s="12" t="s">
        <v>38</v>
      </c>
      <c r="B10" s="6" t="s">
        <v>155</v>
      </c>
      <c r="C10" s="12">
        <v>65</v>
      </c>
      <c r="D10" s="7" t="str">
        <f>VLOOKUP(C10,PipeN!$B$3:$D$48,2,FALSE)</f>
        <v>2 1/2"</v>
      </c>
      <c r="E10" s="7">
        <f>VLOOKUP(C10,PipeN!$B$3:$D$48,3,FALSE)</f>
        <v>76.099999999999994</v>
      </c>
      <c r="F10" s="13"/>
      <c r="G10" s="12">
        <v>16</v>
      </c>
      <c r="I10" s="22">
        <v>24</v>
      </c>
      <c r="J10" s="22" t="s">
        <v>205</v>
      </c>
      <c r="L10" s="22" t="s">
        <v>228</v>
      </c>
      <c r="M10" s="22">
        <v>500</v>
      </c>
      <c r="N10" s="22">
        <v>4</v>
      </c>
    </row>
    <row r="11" spans="1:14" s="1" customFormat="1" x14ac:dyDescent="0.15">
      <c r="A11" s="12" t="s">
        <v>38</v>
      </c>
      <c r="B11" s="6" t="s">
        <v>155</v>
      </c>
      <c r="C11" s="12">
        <v>80</v>
      </c>
      <c r="D11" s="7" t="str">
        <f>VLOOKUP(C11,PipeN!$B$3:$D$48,2,FALSE)</f>
        <v>3"</v>
      </c>
      <c r="E11" s="7">
        <f>VLOOKUP(C11,PipeN!$B$3:$D$48,3,FALSE)</f>
        <v>88.9</v>
      </c>
      <c r="F11" s="13"/>
      <c r="G11" s="12">
        <v>16</v>
      </c>
      <c r="I11" s="18"/>
      <c r="J11" s="18"/>
      <c r="L11" s="22" t="s">
        <v>229</v>
      </c>
      <c r="M11" s="22" t="s">
        <v>26</v>
      </c>
      <c r="N11" s="22">
        <v>5</v>
      </c>
    </row>
    <row r="12" spans="1:14" s="1" customFormat="1" x14ac:dyDescent="0.15">
      <c r="A12" s="12" t="s">
        <v>38</v>
      </c>
      <c r="B12" s="6" t="s">
        <v>155</v>
      </c>
      <c r="C12" s="12">
        <v>100</v>
      </c>
      <c r="D12" s="7" t="str">
        <f>VLOOKUP(C12,PipeN!$B$3:$D$48,2,FALSE)</f>
        <v>4"</v>
      </c>
      <c r="E12" s="7">
        <f>VLOOKUP(C12,PipeN!$B$3:$D$48,3,FALSE)</f>
        <v>114.3</v>
      </c>
      <c r="F12" s="13"/>
      <c r="G12" s="12">
        <v>20</v>
      </c>
      <c r="I12" s="22">
        <v>31</v>
      </c>
      <c r="J12" s="22" t="s">
        <v>221</v>
      </c>
      <c r="L12" s="22" t="s">
        <v>233</v>
      </c>
      <c r="M12" s="22" t="s">
        <v>235</v>
      </c>
      <c r="N12" s="22">
        <v>6</v>
      </c>
    </row>
    <row r="13" spans="1:14" s="1" customFormat="1" x14ac:dyDescent="0.15">
      <c r="A13" s="12" t="s">
        <v>38</v>
      </c>
      <c r="B13" s="6" t="s">
        <v>155</v>
      </c>
      <c r="C13" s="12">
        <v>125</v>
      </c>
      <c r="D13" s="7" t="str">
        <f>VLOOKUP(C13,PipeN!$B$3:$D$48,2,FALSE)</f>
        <v>5"</v>
      </c>
      <c r="E13" s="7">
        <f>VLOOKUP(C13,PipeN!$B$3:$D$48,3,FALSE)</f>
        <v>139.69999999999999</v>
      </c>
      <c r="F13" s="13"/>
      <c r="G13" s="12">
        <v>20</v>
      </c>
      <c r="I13" s="22">
        <v>32</v>
      </c>
      <c r="J13" s="22" t="s">
        <v>227</v>
      </c>
    </row>
    <row r="14" spans="1:14" s="1" customFormat="1" x14ac:dyDescent="0.15">
      <c r="A14" s="12" t="s">
        <v>38</v>
      </c>
      <c r="B14" s="6" t="s">
        <v>155</v>
      </c>
      <c r="C14" s="12">
        <v>150</v>
      </c>
      <c r="D14" s="7" t="str">
        <f>VLOOKUP(C14,PipeN!$B$3:$D$48,2,FALSE)</f>
        <v>6"</v>
      </c>
      <c r="E14" s="7">
        <f>VLOOKUP(C14,PipeN!$B$3:$D$48,3,FALSE)</f>
        <v>168.3</v>
      </c>
      <c r="F14" s="13"/>
      <c r="G14" s="12">
        <v>20</v>
      </c>
      <c r="I14" s="22">
        <v>33</v>
      </c>
      <c r="J14" s="22" t="s">
        <v>222</v>
      </c>
    </row>
    <row r="15" spans="1:14" s="1" customFormat="1" x14ac:dyDescent="0.15">
      <c r="A15" s="12" t="s">
        <v>38</v>
      </c>
      <c r="B15" s="6" t="s">
        <v>155</v>
      </c>
      <c r="C15" s="12">
        <v>200</v>
      </c>
      <c r="D15" s="7" t="str">
        <f>VLOOKUP(C15,PipeN!$B$3:$D$48,2,FALSE)</f>
        <v>8"</v>
      </c>
      <c r="E15" s="7">
        <f>VLOOKUP(C15,PipeN!$B$3:$D$48,3,FALSE)</f>
        <v>219.1</v>
      </c>
      <c r="F15" s="13"/>
      <c r="G15" s="12">
        <v>20</v>
      </c>
      <c r="I15" s="18"/>
      <c r="J15" s="18"/>
    </row>
    <row r="16" spans="1:14" s="1" customFormat="1" x14ac:dyDescent="0.15">
      <c r="A16" s="12" t="s">
        <v>38</v>
      </c>
      <c r="B16" s="6" t="s">
        <v>155</v>
      </c>
      <c r="C16" s="12">
        <v>250</v>
      </c>
      <c r="D16" s="7" t="str">
        <f>VLOOKUP(C16,PipeN!$B$3:$D$48,2,FALSE)</f>
        <v>10"</v>
      </c>
      <c r="E16" s="7">
        <f>VLOOKUP(C16,PipeN!$B$3:$D$48,3,FALSE)</f>
        <v>273</v>
      </c>
      <c r="F16" s="13"/>
      <c r="G16" s="12">
        <v>24</v>
      </c>
      <c r="I16" s="13">
        <v>51</v>
      </c>
      <c r="J16" s="13" t="s">
        <v>216</v>
      </c>
    </row>
    <row r="17" spans="1:13" s="1" customFormat="1" x14ac:dyDescent="0.15">
      <c r="A17" s="12" t="s">
        <v>38</v>
      </c>
      <c r="B17" s="6" t="s">
        <v>155</v>
      </c>
      <c r="C17" s="12">
        <v>300</v>
      </c>
      <c r="D17" s="7" t="str">
        <f>VLOOKUP(C17,PipeN!$B$3:$D$48,2,FALSE)</f>
        <v>12"</v>
      </c>
      <c r="E17" s="7">
        <f>VLOOKUP(C17,PipeN!$B$3:$D$48,3,FALSE)</f>
        <v>323.89999999999998</v>
      </c>
      <c r="F17" s="13"/>
      <c r="G17" s="12">
        <v>24</v>
      </c>
      <c r="I17" s="13">
        <v>52</v>
      </c>
      <c r="J17" s="13" t="s">
        <v>217</v>
      </c>
    </row>
    <row r="18" spans="1:13" s="1" customFormat="1" x14ac:dyDescent="0.15">
      <c r="A18" s="12" t="s">
        <v>38</v>
      </c>
      <c r="B18" s="6" t="s">
        <v>155</v>
      </c>
      <c r="C18" s="12">
        <v>350</v>
      </c>
      <c r="D18" s="7" t="str">
        <f>VLOOKUP(C18,PipeN!$B$3:$D$48,2,FALSE)</f>
        <v>14"</v>
      </c>
      <c r="E18" s="7">
        <f>VLOOKUP(C18,PipeN!$B$3:$D$48,3,FALSE)</f>
        <v>355.6</v>
      </c>
      <c r="F18" s="13"/>
      <c r="G18" s="12">
        <v>24</v>
      </c>
      <c r="I18" s="13">
        <v>53</v>
      </c>
      <c r="J18" s="13" t="s">
        <v>208</v>
      </c>
    </row>
    <row r="19" spans="1:13" s="1" customFormat="1" x14ac:dyDescent="0.15">
      <c r="A19" s="12" t="s">
        <v>38</v>
      </c>
      <c r="B19" s="6" t="s">
        <v>155</v>
      </c>
      <c r="C19" s="12">
        <v>400</v>
      </c>
      <c r="D19" s="7" t="str">
        <f>VLOOKUP(C19,PipeN!$B$3:$D$48,2,FALSE)</f>
        <v>16"</v>
      </c>
      <c r="E19" s="7">
        <f>VLOOKUP(C19,PipeN!$B$3:$D$48,3,FALSE)</f>
        <v>406.4</v>
      </c>
      <c r="F19" s="13"/>
      <c r="G19" s="12">
        <v>24</v>
      </c>
      <c r="I19" s="13">
        <v>54</v>
      </c>
      <c r="J19" s="13" t="s">
        <v>209</v>
      </c>
    </row>
    <row r="20" spans="1:13" s="1" customFormat="1" x14ac:dyDescent="0.15">
      <c r="A20" s="12" t="s">
        <v>38</v>
      </c>
      <c r="B20" s="6" t="s">
        <v>155</v>
      </c>
      <c r="C20" s="12">
        <v>450</v>
      </c>
      <c r="D20" s="7" t="str">
        <f>VLOOKUP(C20,PipeN!$B$3:$D$48,2,FALSE)</f>
        <v>18"</v>
      </c>
      <c r="E20" s="7">
        <f>VLOOKUP(C20,PipeN!$B$3:$D$48,3,FALSE)</f>
        <v>457</v>
      </c>
      <c r="F20" s="13"/>
      <c r="G20" s="12">
        <v>24</v>
      </c>
      <c r="I20" s="13">
        <v>55</v>
      </c>
      <c r="J20" s="13" t="s">
        <v>210</v>
      </c>
    </row>
    <row r="21" spans="1:13" s="1" customFormat="1" x14ac:dyDescent="0.15">
      <c r="A21" s="12" t="s">
        <v>38</v>
      </c>
      <c r="B21" s="6" t="s">
        <v>155</v>
      </c>
      <c r="C21" s="12">
        <v>500</v>
      </c>
      <c r="D21" s="7" t="str">
        <f>VLOOKUP(C21,PipeN!$B$3:$D$48,2,FALSE)</f>
        <v>20"</v>
      </c>
      <c r="E21" s="7">
        <f>VLOOKUP(C21,PipeN!$B$3:$D$48,3,FALSE)</f>
        <v>508</v>
      </c>
      <c r="F21" s="13"/>
      <c r="G21" s="12">
        <v>24</v>
      </c>
      <c r="I21" s="13">
        <v>56</v>
      </c>
      <c r="J21" s="13" t="s">
        <v>206</v>
      </c>
    </row>
    <row r="22" spans="1:13" s="1" customFormat="1" x14ac:dyDescent="0.15">
      <c r="A22" s="12" t="s">
        <v>38</v>
      </c>
      <c r="B22" s="6" t="s">
        <v>155</v>
      </c>
      <c r="C22" s="12">
        <v>600</v>
      </c>
      <c r="D22" s="7" t="str">
        <f>VLOOKUP(C22,PipeN!$B$3:$D$48,2,FALSE)</f>
        <v>24"</v>
      </c>
      <c r="E22" s="7">
        <f>VLOOKUP(C22,PipeN!$B$3:$D$48,3,FALSE)</f>
        <v>610</v>
      </c>
      <c r="F22" s="13"/>
      <c r="G22" s="12">
        <v>24</v>
      </c>
      <c r="I22" s="13">
        <v>57</v>
      </c>
      <c r="J22" s="13" t="s">
        <v>207</v>
      </c>
      <c r="M22" s="18"/>
    </row>
    <row r="23" spans="1:13" s="1" customFormat="1" x14ac:dyDescent="0.15">
      <c r="A23" s="12" t="s">
        <v>37</v>
      </c>
      <c r="B23" s="6" t="s">
        <v>156</v>
      </c>
      <c r="C23" s="12">
        <v>10</v>
      </c>
      <c r="D23" s="7" t="str">
        <f>VLOOKUP(C23,PipeN!$B$3:$D$48,2,FALSE)</f>
        <v>3/8"</v>
      </c>
      <c r="E23" s="7">
        <f>VLOOKUP(C23,PipeN!$B$3:$D$48,3,FALSE)</f>
        <v>17.2</v>
      </c>
      <c r="F23" s="13"/>
      <c r="G23" s="12">
        <v>40</v>
      </c>
      <c r="I23" s="13">
        <v>58</v>
      </c>
      <c r="J23" s="22" t="s">
        <v>211</v>
      </c>
      <c r="M23" s="18"/>
    </row>
    <row r="24" spans="1:13" s="1" customFormat="1" x14ac:dyDescent="0.15">
      <c r="A24" s="12" t="s">
        <v>37</v>
      </c>
      <c r="B24" s="6" t="s">
        <v>156</v>
      </c>
      <c r="C24" s="12">
        <v>15</v>
      </c>
      <c r="D24" s="7" t="str">
        <f>VLOOKUP(C24,PipeN!$B$3:$D$48,2,FALSE)</f>
        <v>1/2"</v>
      </c>
      <c r="E24" s="7">
        <f>VLOOKUP(C24,PipeN!$B$3:$D$48,3,FALSE)</f>
        <v>21.3</v>
      </c>
      <c r="F24" s="13"/>
      <c r="G24" s="12">
        <v>40</v>
      </c>
      <c r="I24" s="13">
        <v>59</v>
      </c>
      <c r="J24" s="22" t="s">
        <v>212</v>
      </c>
      <c r="M24" s="18"/>
    </row>
    <row r="25" spans="1:13" s="1" customFormat="1" x14ac:dyDescent="0.15">
      <c r="A25" s="12" t="s">
        <v>37</v>
      </c>
      <c r="B25" s="6" t="s">
        <v>156</v>
      </c>
      <c r="C25" s="12">
        <v>20</v>
      </c>
      <c r="D25" s="7" t="str">
        <f>VLOOKUP(C25,PipeN!$B$3:$D$48,2,FALSE)</f>
        <v>3/4"</v>
      </c>
      <c r="E25" s="7">
        <f>VLOOKUP(C25,PipeN!$B$3:$D$48,3,FALSE)</f>
        <v>26.9</v>
      </c>
      <c r="F25" s="13"/>
      <c r="G25" s="12">
        <v>45</v>
      </c>
      <c r="I25" s="13">
        <v>60</v>
      </c>
      <c r="J25" s="22" t="s">
        <v>213</v>
      </c>
      <c r="M25" s="18"/>
    </row>
    <row r="26" spans="1:13" s="1" customFormat="1" x14ac:dyDescent="0.15">
      <c r="A26" s="12" t="s">
        <v>37</v>
      </c>
      <c r="B26" s="6" t="s">
        <v>156</v>
      </c>
      <c r="C26" s="12">
        <v>25</v>
      </c>
      <c r="D26" s="7" t="str">
        <f>VLOOKUP(C26,PipeN!$B$3:$D$48,2,FALSE)</f>
        <v>1"</v>
      </c>
      <c r="E26" s="7">
        <f>VLOOKUP(C26,PipeN!$B$3:$D$48,3,FALSE)</f>
        <v>33.700000000000003</v>
      </c>
      <c r="F26" s="13"/>
      <c r="G26" s="12">
        <v>45</v>
      </c>
      <c r="I26" s="13">
        <v>61</v>
      </c>
      <c r="J26" s="22" t="s">
        <v>214</v>
      </c>
    </row>
    <row r="27" spans="1:13" s="1" customFormat="1" x14ac:dyDescent="0.15">
      <c r="A27" s="12" t="s">
        <v>37</v>
      </c>
      <c r="B27" s="6" t="s">
        <v>156</v>
      </c>
      <c r="C27" s="12">
        <v>32</v>
      </c>
      <c r="D27" s="7" t="str">
        <f>VLOOKUP(C27,PipeN!$B$3:$D$48,2,FALSE)</f>
        <v>1 1/4"</v>
      </c>
      <c r="E27" s="7">
        <f>VLOOKUP(C27,PipeN!$B$3:$D$48,3,FALSE)</f>
        <v>42.4</v>
      </c>
      <c r="F27" s="13"/>
      <c r="G27" s="12">
        <v>45</v>
      </c>
      <c r="I27" s="13">
        <v>62</v>
      </c>
      <c r="J27" s="22" t="s">
        <v>215</v>
      </c>
    </row>
    <row r="28" spans="1:13" s="1" customFormat="1" x14ac:dyDescent="0.15">
      <c r="A28" s="12" t="s">
        <v>37</v>
      </c>
      <c r="B28" s="6" t="s">
        <v>156</v>
      </c>
      <c r="C28" s="12">
        <v>40</v>
      </c>
      <c r="D28" s="7" t="str">
        <f>VLOOKUP(C28,PipeN!$B$3:$D$48,2,FALSE)</f>
        <v>1 1/2"</v>
      </c>
      <c r="E28" s="7">
        <f>VLOOKUP(C28,PipeN!$B$3:$D$48,3,FALSE)</f>
        <v>48.3</v>
      </c>
      <c r="F28" s="13"/>
      <c r="G28" s="12">
        <v>50</v>
      </c>
      <c r="I28" s="13">
        <v>63</v>
      </c>
      <c r="J28" s="22" t="s">
        <v>218</v>
      </c>
    </row>
    <row r="29" spans="1:13" s="1" customFormat="1" x14ac:dyDescent="0.15">
      <c r="A29" s="12" t="s">
        <v>37</v>
      </c>
      <c r="B29" s="6" t="s">
        <v>156</v>
      </c>
      <c r="C29" s="12">
        <v>50</v>
      </c>
      <c r="D29" s="7" t="str">
        <f>VLOOKUP(C29,PipeN!$B$3:$D$48,2,FALSE)</f>
        <v>2"</v>
      </c>
      <c r="E29" s="7">
        <f>VLOOKUP(C29,PipeN!$B$3:$D$48,3,FALSE)</f>
        <v>60.3</v>
      </c>
      <c r="F29" s="13"/>
      <c r="G29" s="12">
        <v>55</v>
      </c>
      <c r="I29" s="13">
        <v>64</v>
      </c>
      <c r="J29" s="22" t="s">
        <v>219</v>
      </c>
    </row>
    <row r="30" spans="1:13" s="1" customFormat="1" x14ac:dyDescent="0.15">
      <c r="A30" s="12" t="s">
        <v>37</v>
      </c>
      <c r="B30" s="6" t="s">
        <v>156</v>
      </c>
      <c r="C30" s="12">
        <v>65</v>
      </c>
      <c r="D30" s="7" t="str">
        <f>VLOOKUP(C30,PipeN!$B$3:$D$48,2,FALSE)</f>
        <v>2 1/2"</v>
      </c>
      <c r="E30" s="7">
        <f>VLOOKUP(C30,PipeN!$B$3:$D$48,3,FALSE)</f>
        <v>76.099999999999994</v>
      </c>
      <c r="F30" s="13"/>
      <c r="G30" s="12">
        <v>55</v>
      </c>
      <c r="I30" s="13">
        <v>65</v>
      </c>
      <c r="J30" s="22" t="s">
        <v>220</v>
      </c>
    </row>
    <row r="31" spans="1:13" s="1" customFormat="1" x14ac:dyDescent="0.15">
      <c r="A31" s="12" t="s">
        <v>37</v>
      </c>
      <c r="B31" s="6" t="s">
        <v>156</v>
      </c>
      <c r="C31" s="12">
        <v>80</v>
      </c>
      <c r="D31" s="7" t="str">
        <f>VLOOKUP(C31,PipeN!$B$3:$D$48,2,FALSE)</f>
        <v>3"</v>
      </c>
      <c r="E31" s="7">
        <f>VLOOKUP(C31,PipeN!$B$3:$D$48,3,FALSE)</f>
        <v>88.9</v>
      </c>
      <c r="F31" s="13"/>
      <c r="G31" s="12">
        <v>60</v>
      </c>
      <c r="I31" s="18"/>
      <c r="J31" s="18"/>
    </row>
    <row r="32" spans="1:13" s="1" customFormat="1" x14ac:dyDescent="0.15">
      <c r="A32" s="12" t="s">
        <v>37</v>
      </c>
      <c r="B32" s="6" t="s">
        <v>156</v>
      </c>
      <c r="C32" s="12">
        <v>100</v>
      </c>
      <c r="D32" s="7" t="str">
        <f>VLOOKUP(C32,PipeN!$B$3:$D$48,2,FALSE)</f>
        <v>4"</v>
      </c>
      <c r="E32" s="7">
        <f>VLOOKUP(C32,PipeN!$B$3:$D$48,3,FALSE)</f>
        <v>114.3</v>
      </c>
      <c r="F32" s="13"/>
      <c r="G32" s="12">
        <v>65</v>
      </c>
      <c r="I32" s="22">
        <v>81</v>
      </c>
      <c r="J32" s="22" t="s">
        <v>234</v>
      </c>
      <c r="M32" s="18"/>
    </row>
    <row r="33" spans="1:13" s="1" customFormat="1" x14ac:dyDescent="0.15">
      <c r="A33" s="12" t="s">
        <v>37</v>
      </c>
      <c r="B33" s="6" t="s">
        <v>156</v>
      </c>
      <c r="C33" s="12">
        <v>125</v>
      </c>
      <c r="D33" s="7" t="str">
        <f>VLOOKUP(C33,PipeN!$B$3:$D$48,2,FALSE)</f>
        <v>5"</v>
      </c>
      <c r="E33" s="7">
        <f>VLOOKUP(C33,PipeN!$B$3:$D$48,3,FALSE)</f>
        <v>139.69999999999999</v>
      </c>
      <c r="F33" s="13"/>
      <c r="G33" s="12">
        <v>70</v>
      </c>
      <c r="I33" s="22">
        <v>82</v>
      </c>
      <c r="J33" s="22" t="s">
        <v>236</v>
      </c>
      <c r="M33" s="18"/>
    </row>
    <row r="34" spans="1:13" s="1" customFormat="1" x14ac:dyDescent="0.15">
      <c r="A34" s="12" t="s">
        <v>37</v>
      </c>
      <c r="B34" s="6" t="s">
        <v>156</v>
      </c>
      <c r="C34" s="12">
        <v>150</v>
      </c>
      <c r="D34" s="7" t="str">
        <f>VLOOKUP(C34,PipeN!$B$3:$D$48,2,FALSE)</f>
        <v>6"</v>
      </c>
      <c r="E34" s="7">
        <f>VLOOKUP(C34,PipeN!$B$3:$D$48,3,FALSE)</f>
        <v>168.3</v>
      </c>
      <c r="F34" s="13"/>
      <c r="G34" s="12">
        <v>70</v>
      </c>
      <c r="I34" s="18"/>
      <c r="J34" s="18"/>
      <c r="K34" s="18"/>
      <c r="M34" s="18"/>
    </row>
    <row r="35" spans="1:13" s="1" customFormat="1" x14ac:dyDescent="0.15">
      <c r="A35" s="12" t="s">
        <v>37</v>
      </c>
      <c r="B35" s="6" t="s">
        <v>156</v>
      </c>
      <c r="C35" s="12">
        <v>200</v>
      </c>
      <c r="D35" s="7" t="str">
        <f>VLOOKUP(C35,PipeN!$B$3:$D$48,2,FALSE)</f>
        <v>8"</v>
      </c>
      <c r="E35" s="7">
        <f>VLOOKUP(C35,PipeN!$B$3:$D$48,3,FALSE)</f>
        <v>219.1</v>
      </c>
      <c r="F35" s="13"/>
      <c r="G35" s="12">
        <v>80</v>
      </c>
      <c r="I35" s="18"/>
      <c r="J35" s="18"/>
      <c r="K35" s="18"/>
      <c r="M35" s="18"/>
    </row>
    <row r="36" spans="1:13" s="1" customFormat="1" x14ac:dyDescent="0.15">
      <c r="A36" s="12" t="s">
        <v>37</v>
      </c>
      <c r="B36" s="6" t="s">
        <v>156</v>
      </c>
      <c r="C36" s="12">
        <v>250</v>
      </c>
      <c r="D36" s="7" t="str">
        <f>VLOOKUP(C36,PipeN!$B$3:$D$48,2,FALSE)</f>
        <v>10"</v>
      </c>
      <c r="E36" s="7">
        <f>VLOOKUP(C36,PipeN!$B$3:$D$48,3,FALSE)</f>
        <v>273</v>
      </c>
      <c r="F36" s="13"/>
      <c r="G36" s="12">
        <v>85</v>
      </c>
      <c r="I36" s="18"/>
      <c r="J36" s="18"/>
      <c r="K36" s="18"/>
      <c r="M36" s="18"/>
    </row>
    <row r="37" spans="1:13" s="1" customFormat="1" x14ac:dyDescent="0.15">
      <c r="A37" s="12" t="s">
        <v>37</v>
      </c>
      <c r="B37" s="6" t="s">
        <v>156</v>
      </c>
      <c r="C37" s="12">
        <v>300</v>
      </c>
      <c r="D37" s="7" t="str">
        <f>VLOOKUP(C37,PipeN!$B$3:$D$48,2,FALSE)</f>
        <v>12"</v>
      </c>
      <c r="E37" s="7">
        <f>VLOOKUP(C37,PipeN!$B$3:$D$48,3,FALSE)</f>
        <v>323.89999999999998</v>
      </c>
      <c r="F37" s="13"/>
      <c r="G37" s="12">
        <v>90</v>
      </c>
      <c r="I37" s="18"/>
      <c r="J37" s="18"/>
      <c r="K37" s="18"/>
      <c r="M37" s="18"/>
    </row>
    <row r="38" spans="1:13" s="1" customFormat="1" x14ac:dyDescent="0.15">
      <c r="A38" s="12" t="s">
        <v>37</v>
      </c>
      <c r="B38" s="6" t="s">
        <v>156</v>
      </c>
      <c r="C38" s="12">
        <v>350</v>
      </c>
      <c r="D38" s="7" t="str">
        <f>VLOOKUP(C38,PipeN!$B$3:$D$48,2,FALSE)</f>
        <v>14"</v>
      </c>
      <c r="E38" s="7">
        <f>VLOOKUP(C38,PipeN!$B$3:$D$48,3,FALSE)</f>
        <v>355.6</v>
      </c>
      <c r="F38" s="13"/>
      <c r="G38" s="12">
        <v>100</v>
      </c>
      <c r="I38" s="18"/>
      <c r="J38" s="18"/>
      <c r="K38" s="18"/>
      <c r="M38" s="18"/>
    </row>
    <row r="39" spans="1:13" s="1" customFormat="1" x14ac:dyDescent="0.15">
      <c r="A39" s="12" t="s">
        <v>37</v>
      </c>
      <c r="B39" s="6" t="s">
        <v>156</v>
      </c>
      <c r="C39" s="12">
        <v>400</v>
      </c>
      <c r="D39" s="7" t="str">
        <f>VLOOKUP(C39,PipeN!$B$3:$D$48,2,FALSE)</f>
        <v>16"</v>
      </c>
      <c r="E39" s="7">
        <f>VLOOKUP(C39,PipeN!$B$3:$D$48,3,FALSE)</f>
        <v>406.4</v>
      </c>
      <c r="F39" s="13"/>
      <c r="G39" s="12">
        <v>110</v>
      </c>
      <c r="I39" s="18"/>
      <c r="J39" s="18"/>
      <c r="K39" s="18"/>
      <c r="M39" s="18"/>
    </row>
    <row r="40" spans="1:13" s="1" customFormat="1" x14ac:dyDescent="0.15">
      <c r="A40" s="12" t="s">
        <v>37</v>
      </c>
      <c r="B40" s="6" t="s">
        <v>156</v>
      </c>
      <c r="C40" s="12">
        <v>450</v>
      </c>
      <c r="D40" s="7" t="str">
        <f>VLOOKUP(C40,PipeN!$B$3:$D$48,2,FALSE)</f>
        <v>18"</v>
      </c>
      <c r="E40" s="7">
        <f>VLOOKUP(C40,PipeN!$B$3:$D$48,3,FALSE)</f>
        <v>457</v>
      </c>
      <c r="F40" s="13"/>
      <c r="G40" s="12">
        <v>120</v>
      </c>
      <c r="I40" s="18"/>
      <c r="J40" s="18"/>
      <c r="K40" s="18"/>
      <c r="M40" s="18"/>
    </row>
    <row r="41" spans="1:13" s="1" customFormat="1" x14ac:dyDescent="0.15">
      <c r="A41" s="12" t="s">
        <v>37</v>
      </c>
      <c r="B41" s="6" t="s">
        <v>156</v>
      </c>
      <c r="C41" s="12">
        <v>500</v>
      </c>
      <c r="D41" s="7" t="str">
        <f>VLOOKUP(C41,PipeN!$B$3:$D$48,2,FALSE)</f>
        <v>20"</v>
      </c>
      <c r="E41" s="7">
        <f>VLOOKUP(C41,PipeN!$B$3:$D$48,3,FALSE)</f>
        <v>508</v>
      </c>
      <c r="F41" s="13"/>
      <c r="G41" s="12">
        <v>125</v>
      </c>
      <c r="I41" s="18"/>
      <c r="J41" s="18"/>
      <c r="K41" s="18"/>
      <c r="M41" s="18"/>
    </row>
    <row r="42" spans="1:13" s="1" customFormat="1" x14ac:dyDescent="0.15">
      <c r="A42" s="12" t="s">
        <v>37</v>
      </c>
      <c r="B42" s="6" t="s">
        <v>156</v>
      </c>
      <c r="C42" s="12">
        <v>600</v>
      </c>
      <c r="D42" s="7" t="str">
        <f>VLOOKUP(C42,PipeN!$B$3:$D$48,2,FALSE)</f>
        <v>24"</v>
      </c>
      <c r="E42" s="7">
        <f>VLOOKUP(C42,PipeN!$B$3:$D$48,3,FALSE)</f>
        <v>610</v>
      </c>
      <c r="F42" s="13"/>
      <c r="G42" s="12">
        <v>130</v>
      </c>
      <c r="I42" s="18"/>
      <c r="J42" s="18"/>
      <c r="K42" s="18"/>
      <c r="M42" s="18"/>
    </row>
    <row r="43" spans="1:13" s="1" customFormat="1" x14ac:dyDescent="0.15">
      <c r="A43" s="13" t="s">
        <v>92</v>
      </c>
      <c r="B43" s="6" t="s">
        <v>155</v>
      </c>
      <c r="C43" s="12">
        <v>10</v>
      </c>
      <c r="D43" s="6"/>
      <c r="E43" s="7">
        <f>VLOOKUP(C43,PipeN!$B$3:$D$48,3,FALSE)</f>
        <v>17.2</v>
      </c>
      <c r="F43" s="7">
        <f>VLOOKUP(C43,PipeN!$B$72:$D$101,3,FALSE)</f>
        <v>14</v>
      </c>
      <c r="G43" s="12">
        <v>10</v>
      </c>
      <c r="I43" s="18"/>
      <c r="J43" s="18"/>
      <c r="K43" s="18"/>
      <c r="M43" s="18"/>
    </row>
    <row r="44" spans="1:13" s="1" customFormat="1" x14ac:dyDescent="0.15">
      <c r="A44" s="13" t="s">
        <v>92</v>
      </c>
      <c r="B44" s="6" t="s">
        <v>155</v>
      </c>
      <c r="C44" s="12">
        <v>15</v>
      </c>
      <c r="D44" s="6"/>
      <c r="E44" s="7">
        <f>VLOOKUP(C44,PipeN!$B$3:$D$48,3,FALSE)</f>
        <v>21.3</v>
      </c>
      <c r="F44" s="7">
        <f>VLOOKUP(C44,PipeN!$B$72:$D$101,3,FALSE)</f>
        <v>18</v>
      </c>
      <c r="G44" s="12">
        <v>10</v>
      </c>
      <c r="I44" s="18"/>
      <c r="J44" s="18"/>
      <c r="K44" s="18"/>
      <c r="M44" s="18"/>
    </row>
    <row r="45" spans="1:13" s="1" customFormat="1" x14ac:dyDescent="0.15">
      <c r="A45" s="13" t="s">
        <v>92</v>
      </c>
      <c r="B45" s="6" t="s">
        <v>155</v>
      </c>
      <c r="C45" s="12">
        <v>20</v>
      </c>
      <c r="D45" s="6"/>
      <c r="E45" s="7">
        <f>VLOOKUP(C45,PipeN!$B$3:$D$48,3,FALSE)</f>
        <v>26.9</v>
      </c>
      <c r="F45" s="7">
        <f>VLOOKUP(C45,PipeN!$B$72:$D$101,3,FALSE)</f>
        <v>25</v>
      </c>
      <c r="G45" s="12">
        <v>10</v>
      </c>
      <c r="I45" s="18"/>
      <c r="J45" s="18"/>
      <c r="K45" s="18"/>
      <c r="M45" s="18"/>
    </row>
    <row r="46" spans="1:13" s="1" customFormat="1" x14ac:dyDescent="0.15">
      <c r="A46" s="13" t="s">
        <v>92</v>
      </c>
      <c r="B46" s="6" t="s">
        <v>155</v>
      </c>
      <c r="C46" s="12">
        <v>25</v>
      </c>
      <c r="D46" s="6"/>
      <c r="E46" s="7">
        <f>VLOOKUP(C46,PipeN!$B$3:$D$48,3,FALSE)</f>
        <v>33.700000000000003</v>
      </c>
      <c r="F46" s="7">
        <f>VLOOKUP(C46,PipeN!$B$72:$D$101,3,FALSE)</f>
        <v>32</v>
      </c>
      <c r="G46" s="12">
        <v>14</v>
      </c>
      <c r="I46" s="18"/>
      <c r="J46" s="18"/>
      <c r="K46" s="18"/>
      <c r="M46" s="18"/>
    </row>
    <row r="47" spans="1:13" s="1" customFormat="1" x14ac:dyDescent="0.15">
      <c r="A47" s="13" t="s">
        <v>92</v>
      </c>
      <c r="B47" s="6" t="s">
        <v>155</v>
      </c>
      <c r="C47" s="12">
        <v>32</v>
      </c>
      <c r="D47" s="6"/>
      <c r="E47" s="7">
        <f>VLOOKUP(C47,PipeN!$B$3:$D$48,3,FALSE)</f>
        <v>42.4</v>
      </c>
      <c r="F47" s="7">
        <f>VLOOKUP(C47,PipeN!$B$72:$D$101,3,FALSE)</f>
        <v>38</v>
      </c>
      <c r="G47" s="12">
        <v>14</v>
      </c>
      <c r="I47" s="18"/>
      <c r="J47" s="18"/>
      <c r="K47" s="18"/>
      <c r="M47" s="18"/>
    </row>
    <row r="48" spans="1:13" s="1" customFormat="1" x14ac:dyDescent="0.15">
      <c r="A48" s="13" t="s">
        <v>92</v>
      </c>
      <c r="B48" s="6" t="s">
        <v>155</v>
      </c>
      <c r="C48" s="12">
        <v>40</v>
      </c>
      <c r="D48" s="6"/>
      <c r="E48" s="7">
        <f>VLOOKUP(C48,PipeN!$B$3:$D$48,3,FALSE)</f>
        <v>48.3</v>
      </c>
      <c r="F48" s="7">
        <f>VLOOKUP(C48,PipeN!$B$72:$D$101,3,FALSE)</f>
        <v>45</v>
      </c>
      <c r="G48" s="12">
        <v>16</v>
      </c>
      <c r="I48" s="18"/>
      <c r="J48" s="18"/>
      <c r="K48" s="18"/>
      <c r="M48" s="18"/>
    </row>
    <row r="49" spans="1:13" s="1" customFormat="1" x14ac:dyDescent="0.15">
      <c r="A49" s="13" t="s">
        <v>92</v>
      </c>
      <c r="B49" s="6" t="s">
        <v>155</v>
      </c>
      <c r="C49" s="12">
        <v>50</v>
      </c>
      <c r="D49" s="6"/>
      <c r="E49" s="7">
        <f>VLOOKUP(C49,PipeN!$B$3:$D$48,3,FALSE)</f>
        <v>60.3</v>
      </c>
      <c r="F49" s="7">
        <f>VLOOKUP(C49,PipeN!$B$72:$D$101,3,FALSE)</f>
        <v>57</v>
      </c>
      <c r="G49" s="12">
        <v>16</v>
      </c>
      <c r="I49" s="18"/>
      <c r="J49" s="18"/>
      <c r="K49" s="18"/>
      <c r="M49" s="18"/>
    </row>
    <row r="50" spans="1:13" s="1" customFormat="1" x14ac:dyDescent="0.15">
      <c r="A50" s="13" t="s">
        <v>92</v>
      </c>
      <c r="B50" s="6" t="s">
        <v>155</v>
      </c>
      <c r="C50" s="12">
        <v>65</v>
      </c>
      <c r="D50" s="6"/>
      <c r="E50" s="7">
        <f>VLOOKUP(C50,PipeN!$B$3:$D$48,3,FALSE)</f>
        <v>76.099999999999994</v>
      </c>
      <c r="F50" s="7">
        <f>VLOOKUP(C50,PipeN!$B$72:$D$101,3,FALSE)</f>
        <v>76</v>
      </c>
      <c r="G50" s="12">
        <v>16</v>
      </c>
      <c r="I50" s="18"/>
      <c r="J50" s="18"/>
      <c r="K50" s="18"/>
      <c r="M50" s="18"/>
    </row>
    <row r="51" spans="1:13" s="1" customFormat="1" x14ac:dyDescent="0.15">
      <c r="A51" s="13" t="s">
        <v>92</v>
      </c>
      <c r="B51" s="6" t="s">
        <v>155</v>
      </c>
      <c r="C51" s="12">
        <v>80</v>
      </c>
      <c r="D51" s="6"/>
      <c r="E51" s="7">
        <f>VLOOKUP(C51,PipeN!$B$3:$D$48,3,FALSE)</f>
        <v>88.9</v>
      </c>
      <c r="F51" s="7">
        <f>VLOOKUP(C51,PipeN!$B$72:$D$101,3,FALSE)</f>
        <v>89</v>
      </c>
      <c r="G51" s="12">
        <v>16</v>
      </c>
      <c r="I51" s="18"/>
      <c r="J51" s="18"/>
      <c r="K51" s="18"/>
      <c r="M51" s="18"/>
    </row>
    <row r="52" spans="1:13" s="1" customFormat="1" x14ac:dyDescent="0.15">
      <c r="A52" s="13" t="s">
        <v>92</v>
      </c>
      <c r="B52" s="6" t="s">
        <v>155</v>
      </c>
      <c r="C52" s="12">
        <v>100</v>
      </c>
      <c r="D52" s="6"/>
      <c r="E52" s="7">
        <f>VLOOKUP(C52,PipeN!$B$3:$D$48,3,FALSE)</f>
        <v>114.3</v>
      </c>
      <c r="F52" s="7">
        <f>VLOOKUP(C52,PipeN!$B$72:$D$101,3,FALSE)</f>
        <v>108</v>
      </c>
      <c r="G52" s="12">
        <v>20</v>
      </c>
      <c r="I52" s="18"/>
      <c r="J52" s="18"/>
      <c r="K52" s="18"/>
      <c r="M52" s="18"/>
    </row>
    <row r="53" spans="1:13" s="1" customFormat="1" x14ac:dyDescent="0.15">
      <c r="A53" s="13" t="s">
        <v>92</v>
      </c>
      <c r="B53" s="6" t="s">
        <v>155</v>
      </c>
      <c r="C53" s="12">
        <v>125</v>
      </c>
      <c r="D53" s="6"/>
      <c r="E53" s="7">
        <f>VLOOKUP(C53,PipeN!$B$3:$D$48,3,FALSE)</f>
        <v>139.69999999999999</v>
      </c>
      <c r="F53" s="7">
        <f>VLOOKUP(C53,PipeN!$B$72:$D$101,3,FALSE)</f>
        <v>133</v>
      </c>
      <c r="G53" s="12">
        <v>20</v>
      </c>
      <c r="I53" s="18"/>
      <c r="J53" s="18"/>
      <c r="K53" s="18"/>
      <c r="M53" s="18"/>
    </row>
    <row r="54" spans="1:13" s="1" customFormat="1" x14ac:dyDescent="0.15">
      <c r="A54" s="13" t="s">
        <v>92</v>
      </c>
      <c r="B54" s="6" t="s">
        <v>155</v>
      </c>
      <c r="C54" s="12">
        <v>150</v>
      </c>
      <c r="D54" s="6"/>
      <c r="E54" s="7">
        <f>VLOOKUP(C54,PipeN!$B$3:$D$48,3,FALSE)</f>
        <v>168.3</v>
      </c>
      <c r="F54" s="7">
        <f>VLOOKUP(C54,PipeN!$B$72:$D$101,3,FALSE)</f>
        <v>159</v>
      </c>
      <c r="G54" s="12">
        <v>20</v>
      </c>
      <c r="I54" s="18"/>
      <c r="J54" s="18"/>
      <c r="K54" s="18"/>
      <c r="M54" s="18"/>
    </row>
    <row r="55" spans="1:13" s="1" customFormat="1" x14ac:dyDescent="0.15">
      <c r="A55" s="13" t="s">
        <v>92</v>
      </c>
      <c r="B55" s="6" t="s">
        <v>155</v>
      </c>
      <c r="C55" s="12">
        <v>200</v>
      </c>
      <c r="D55" s="6"/>
      <c r="E55" s="7">
        <f>VLOOKUP(C55,PipeN!$B$3:$D$48,3,FALSE)</f>
        <v>219.1</v>
      </c>
      <c r="F55" s="7">
        <f>VLOOKUP(C55,PipeN!$B$72:$D$101,3,FALSE)</f>
        <v>219</v>
      </c>
      <c r="G55" s="12">
        <v>20</v>
      </c>
      <c r="I55" s="18"/>
      <c r="J55" s="18"/>
      <c r="K55" s="18"/>
      <c r="M55" s="18"/>
    </row>
    <row r="56" spans="1:13" s="1" customFormat="1" x14ac:dyDescent="0.15">
      <c r="A56" s="13" t="s">
        <v>92</v>
      </c>
      <c r="B56" s="6" t="s">
        <v>155</v>
      </c>
      <c r="C56" s="12">
        <v>250</v>
      </c>
      <c r="D56" s="6"/>
      <c r="E56" s="7">
        <f>VLOOKUP(C56,PipeN!$B$3:$D$48,3,FALSE)</f>
        <v>273</v>
      </c>
      <c r="F56" s="7">
        <f>VLOOKUP(C56,PipeN!$B$72:$D$101,3,FALSE)</f>
        <v>273</v>
      </c>
      <c r="G56" s="12">
        <v>24</v>
      </c>
      <c r="I56" s="18"/>
      <c r="J56" s="18"/>
      <c r="K56" s="18"/>
      <c r="M56" s="18"/>
    </row>
    <row r="57" spans="1:13" s="1" customFormat="1" x14ac:dyDescent="0.15">
      <c r="A57" s="13" t="s">
        <v>92</v>
      </c>
      <c r="B57" s="6" t="s">
        <v>155</v>
      </c>
      <c r="C57" s="12">
        <v>300</v>
      </c>
      <c r="D57" s="6"/>
      <c r="E57" s="7">
        <f>VLOOKUP(C57,PipeN!$B$3:$D$48,3,FALSE)</f>
        <v>323.89999999999998</v>
      </c>
      <c r="F57" s="7">
        <f>VLOOKUP(C57,PipeN!$B$72:$D$101,3,FALSE)</f>
        <v>325</v>
      </c>
      <c r="G57" s="12">
        <v>24</v>
      </c>
      <c r="I57" s="18"/>
      <c r="J57" s="18"/>
      <c r="K57" s="18"/>
      <c r="M57" s="18"/>
    </row>
    <row r="58" spans="1:13" s="1" customFormat="1" x14ac:dyDescent="0.15">
      <c r="A58" s="13" t="s">
        <v>92</v>
      </c>
      <c r="B58" s="6" t="s">
        <v>155</v>
      </c>
      <c r="C58" s="12">
        <v>350</v>
      </c>
      <c r="D58" s="6"/>
      <c r="E58" s="7">
        <f>VLOOKUP(C58,PipeN!$B$3:$D$48,3,FALSE)</f>
        <v>355.6</v>
      </c>
      <c r="F58" s="7">
        <f>VLOOKUP(C58,PipeN!$B$72:$D$101,3,FALSE)</f>
        <v>377</v>
      </c>
      <c r="G58" s="12">
        <v>24</v>
      </c>
      <c r="I58" s="18"/>
      <c r="J58" s="18"/>
      <c r="K58" s="18"/>
      <c r="M58" s="18"/>
    </row>
    <row r="59" spans="1:13" s="1" customFormat="1" x14ac:dyDescent="0.15">
      <c r="A59" s="13" t="s">
        <v>92</v>
      </c>
      <c r="B59" s="6" t="s">
        <v>155</v>
      </c>
      <c r="C59" s="12">
        <v>400</v>
      </c>
      <c r="D59" s="6"/>
      <c r="E59" s="7">
        <f>VLOOKUP(C59,PipeN!$B$3:$D$48,3,FALSE)</f>
        <v>406.4</v>
      </c>
      <c r="F59" s="7">
        <f>VLOOKUP(C59,PipeN!$B$72:$D$101,3,FALSE)</f>
        <v>426</v>
      </c>
      <c r="G59" s="12">
        <v>24</v>
      </c>
      <c r="I59" s="18"/>
      <c r="J59" s="18"/>
      <c r="K59" s="18"/>
      <c r="M59" s="18"/>
    </row>
    <row r="60" spans="1:13" s="1" customFormat="1" x14ac:dyDescent="0.15">
      <c r="A60" s="13" t="s">
        <v>92</v>
      </c>
      <c r="B60" s="6" t="s">
        <v>155</v>
      </c>
      <c r="C60" s="12">
        <v>450</v>
      </c>
      <c r="D60" s="6"/>
      <c r="E60" s="7">
        <f>VLOOKUP(C60,PipeN!$B$3:$D$48,3,FALSE)</f>
        <v>457</v>
      </c>
      <c r="F60" s="7">
        <f>VLOOKUP(C60,PipeN!$B$72:$D$101,3,FALSE)</f>
        <v>480</v>
      </c>
      <c r="G60" s="12">
        <v>24</v>
      </c>
      <c r="I60" s="18"/>
      <c r="J60" s="18"/>
      <c r="K60" s="18"/>
      <c r="M60" s="18"/>
    </row>
    <row r="61" spans="1:13" s="1" customFormat="1" x14ac:dyDescent="0.15">
      <c r="A61" s="13" t="s">
        <v>92</v>
      </c>
      <c r="B61" s="6" t="s">
        <v>155</v>
      </c>
      <c r="C61" s="12">
        <v>500</v>
      </c>
      <c r="D61" s="6"/>
      <c r="E61" s="7">
        <f>VLOOKUP(C61,PipeN!$B$3:$D$48,3,FALSE)</f>
        <v>508</v>
      </c>
      <c r="F61" s="7">
        <f>VLOOKUP(C61,PipeN!$B$72:$D$101,3,FALSE)</f>
        <v>530</v>
      </c>
      <c r="G61" s="12">
        <v>24</v>
      </c>
      <c r="I61" s="18"/>
      <c r="J61" s="18"/>
      <c r="K61" s="18"/>
      <c r="M61" s="18"/>
    </row>
    <row r="62" spans="1:13" s="1" customFormat="1" x14ac:dyDescent="0.15">
      <c r="A62" s="13" t="s">
        <v>92</v>
      </c>
      <c r="B62" s="6" t="s">
        <v>155</v>
      </c>
      <c r="C62" s="12">
        <v>600</v>
      </c>
      <c r="D62" s="6"/>
      <c r="E62" s="7">
        <f>VLOOKUP(C62,PipeN!$B$3:$D$48,3,FALSE)</f>
        <v>610</v>
      </c>
      <c r="F62" s="7">
        <f>VLOOKUP(C62,PipeN!$B$72:$D$101,3,FALSE)</f>
        <v>630</v>
      </c>
      <c r="G62" s="12">
        <v>24</v>
      </c>
      <c r="I62" s="18"/>
      <c r="J62" s="18"/>
      <c r="K62" s="18"/>
      <c r="M62" s="18"/>
    </row>
    <row r="63" spans="1:13" s="1" customFormat="1" x14ac:dyDescent="0.15">
      <c r="A63" s="13" t="s">
        <v>92</v>
      </c>
      <c r="B63" s="6" t="s">
        <v>156</v>
      </c>
      <c r="C63" s="12">
        <v>10</v>
      </c>
      <c r="D63" s="6"/>
      <c r="E63" s="7">
        <f>VLOOKUP(C63,PipeN!$B$3:$D$48,3,FALSE)</f>
        <v>17.2</v>
      </c>
      <c r="F63" s="7">
        <f>VLOOKUP(C63,PipeN!$B$72:$D$101,3,FALSE)</f>
        <v>14</v>
      </c>
      <c r="G63" s="12">
        <v>40</v>
      </c>
      <c r="I63" s="18"/>
      <c r="J63" s="18"/>
      <c r="K63" s="18"/>
      <c r="M63" s="18"/>
    </row>
    <row r="64" spans="1:13" s="1" customFormat="1" x14ac:dyDescent="0.15">
      <c r="A64" s="13" t="s">
        <v>92</v>
      </c>
      <c r="B64" s="6" t="s">
        <v>156</v>
      </c>
      <c r="C64" s="12">
        <v>15</v>
      </c>
      <c r="D64" s="6"/>
      <c r="E64" s="7">
        <f>VLOOKUP(C64,PipeN!$B$3:$D$48,3,FALSE)</f>
        <v>21.3</v>
      </c>
      <c r="F64" s="7">
        <f>VLOOKUP(C64,PipeN!$B$72:$D$101,3,FALSE)</f>
        <v>18</v>
      </c>
      <c r="G64" s="12">
        <v>40</v>
      </c>
      <c r="I64" s="18"/>
      <c r="J64" s="18"/>
      <c r="K64" s="18"/>
      <c r="M64" s="18"/>
    </row>
    <row r="65" spans="1:13" s="1" customFormat="1" x14ac:dyDescent="0.15">
      <c r="A65" s="13" t="s">
        <v>92</v>
      </c>
      <c r="B65" s="6" t="s">
        <v>156</v>
      </c>
      <c r="C65" s="12">
        <v>20</v>
      </c>
      <c r="D65" s="6"/>
      <c r="E65" s="7">
        <f>VLOOKUP(C65,PipeN!$B$3:$D$48,3,FALSE)</f>
        <v>26.9</v>
      </c>
      <c r="F65" s="7">
        <f>VLOOKUP(C65,PipeN!$B$72:$D$101,3,FALSE)</f>
        <v>25</v>
      </c>
      <c r="G65" s="12">
        <v>45</v>
      </c>
      <c r="I65" s="18"/>
      <c r="J65" s="18"/>
      <c r="K65" s="18"/>
      <c r="M65" s="18"/>
    </row>
    <row r="66" spans="1:13" s="1" customFormat="1" x14ac:dyDescent="0.15">
      <c r="A66" s="13" t="s">
        <v>92</v>
      </c>
      <c r="B66" s="6" t="s">
        <v>156</v>
      </c>
      <c r="C66" s="12">
        <v>25</v>
      </c>
      <c r="D66" s="6"/>
      <c r="E66" s="7">
        <f>VLOOKUP(C66,PipeN!$B$3:$D$48,3,FALSE)</f>
        <v>33.700000000000003</v>
      </c>
      <c r="F66" s="7">
        <f>VLOOKUP(C66,PipeN!$B$72:$D$101,3,FALSE)</f>
        <v>32</v>
      </c>
      <c r="G66" s="12">
        <v>45</v>
      </c>
      <c r="I66" s="18"/>
      <c r="J66" s="18"/>
      <c r="K66" s="18"/>
      <c r="M66" s="18"/>
    </row>
    <row r="67" spans="1:13" s="1" customFormat="1" x14ac:dyDescent="0.15">
      <c r="A67" s="13" t="s">
        <v>92</v>
      </c>
      <c r="B67" s="6" t="s">
        <v>156</v>
      </c>
      <c r="C67" s="12">
        <v>32</v>
      </c>
      <c r="D67" s="6"/>
      <c r="E67" s="7">
        <f>VLOOKUP(C67,PipeN!$B$3:$D$48,3,FALSE)</f>
        <v>42.4</v>
      </c>
      <c r="F67" s="7">
        <f>VLOOKUP(C67,PipeN!$B$72:$D$101,3,FALSE)</f>
        <v>38</v>
      </c>
      <c r="G67" s="12">
        <v>45</v>
      </c>
      <c r="I67" s="18"/>
      <c r="J67" s="18"/>
      <c r="K67" s="18"/>
      <c r="M67" s="18"/>
    </row>
    <row r="68" spans="1:13" s="1" customFormat="1" x14ac:dyDescent="0.15">
      <c r="A68" s="13" t="s">
        <v>92</v>
      </c>
      <c r="B68" s="6" t="s">
        <v>156</v>
      </c>
      <c r="C68" s="12">
        <v>40</v>
      </c>
      <c r="D68" s="6"/>
      <c r="E68" s="7">
        <f>VLOOKUP(C68,PipeN!$B$3:$D$48,3,FALSE)</f>
        <v>48.3</v>
      </c>
      <c r="F68" s="7">
        <f>VLOOKUP(C68,PipeN!$B$72:$D$101,3,FALSE)</f>
        <v>45</v>
      </c>
      <c r="G68" s="12">
        <v>50</v>
      </c>
      <c r="I68" s="18"/>
      <c r="J68" s="18"/>
      <c r="K68" s="18"/>
      <c r="M68" s="18"/>
    </row>
    <row r="69" spans="1:13" s="1" customFormat="1" x14ac:dyDescent="0.15">
      <c r="A69" s="13" t="s">
        <v>92</v>
      </c>
      <c r="B69" s="6" t="s">
        <v>156</v>
      </c>
      <c r="C69" s="12">
        <v>50</v>
      </c>
      <c r="D69" s="6"/>
      <c r="E69" s="7">
        <f>VLOOKUP(C69,PipeN!$B$3:$D$48,3,FALSE)</f>
        <v>60.3</v>
      </c>
      <c r="F69" s="7">
        <f>VLOOKUP(C69,PipeN!$B$72:$D$101,3,FALSE)</f>
        <v>57</v>
      </c>
      <c r="G69" s="12">
        <v>55</v>
      </c>
      <c r="I69" s="18"/>
      <c r="J69" s="18"/>
      <c r="K69" s="18"/>
      <c r="M69" s="18"/>
    </row>
    <row r="70" spans="1:13" s="1" customFormat="1" x14ac:dyDescent="0.15">
      <c r="A70" s="13" t="s">
        <v>92</v>
      </c>
      <c r="B70" s="6" t="s">
        <v>156</v>
      </c>
      <c r="C70" s="12">
        <v>65</v>
      </c>
      <c r="D70" s="6"/>
      <c r="E70" s="7">
        <f>VLOOKUP(C70,PipeN!$B$3:$D$48,3,FALSE)</f>
        <v>76.099999999999994</v>
      </c>
      <c r="F70" s="7">
        <f>VLOOKUP(C70,PipeN!$B$72:$D$101,3,FALSE)</f>
        <v>76</v>
      </c>
      <c r="G70" s="12">
        <v>55</v>
      </c>
      <c r="I70" s="18"/>
      <c r="J70" s="18"/>
      <c r="K70" s="18"/>
      <c r="M70" s="18"/>
    </row>
    <row r="71" spans="1:13" s="1" customFormat="1" x14ac:dyDescent="0.15">
      <c r="A71" s="13" t="s">
        <v>92</v>
      </c>
      <c r="B71" s="6" t="s">
        <v>156</v>
      </c>
      <c r="C71" s="12">
        <v>80</v>
      </c>
      <c r="D71" s="6"/>
      <c r="E71" s="7">
        <f>VLOOKUP(C71,PipeN!$B$3:$D$48,3,FALSE)</f>
        <v>88.9</v>
      </c>
      <c r="F71" s="7">
        <f>VLOOKUP(C71,PipeN!$B$72:$D$101,3,FALSE)</f>
        <v>89</v>
      </c>
      <c r="G71" s="12">
        <v>60</v>
      </c>
      <c r="I71" s="18"/>
      <c r="J71" s="18"/>
      <c r="K71" s="18"/>
      <c r="M71" s="18"/>
    </row>
    <row r="72" spans="1:13" s="1" customFormat="1" x14ac:dyDescent="0.15">
      <c r="A72" s="13" t="s">
        <v>92</v>
      </c>
      <c r="B72" s="6" t="s">
        <v>156</v>
      </c>
      <c r="C72" s="12">
        <v>100</v>
      </c>
      <c r="D72" s="6"/>
      <c r="E72" s="7">
        <f>VLOOKUP(C72,PipeN!$B$3:$D$48,3,FALSE)</f>
        <v>114.3</v>
      </c>
      <c r="F72" s="7">
        <f>VLOOKUP(C72,PipeN!$B$72:$D$101,3,FALSE)</f>
        <v>108</v>
      </c>
      <c r="G72" s="12">
        <v>65</v>
      </c>
      <c r="I72" s="18"/>
      <c r="J72" s="18"/>
      <c r="K72" s="18"/>
      <c r="M72" s="18"/>
    </row>
    <row r="73" spans="1:13" s="1" customFormat="1" x14ac:dyDescent="0.15">
      <c r="A73" s="13" t="s">
        <v>92</v>
      </c>
      <c r="B73" s="6" t="s">
        <v>156</v>
      </c>
      <c r="C73" s="12">
        <v>125</v>
      </c>
      <c r="D73" s="6"/>
      <c r="E73" s="7">
        <f>VLOOKUP(C73,PipeN!$B$3:$D$48,3,FALSE)</f>
        <v>139.69999999999999</v>
      </c>
      <c r="F73" s="7">
        <f>VLOOKUP(C73,PipeN!$B$72:$D$101,3,FALSE)</f>
        <v>133</v>
      </c>
      <c r="G73" s="12">
        <v>70</v>
      </c>
      <c r="I73" s="18"/>
      <c r="J73" s="18"/>
      <c r="K73" s="18"/>
      <c r="M73" s="18"/>
    </row>
    <row r="74" spans="1:13" s="1" customFormat="1" x14ac:dyDescent="0.15">
      <c r="A74" s="13" t="s">
        <v>92</v>
      </c>
      <c r="B74" s="6" t="s">
        <v>156</v>
      </c>
      <c r="C74" s="12">
        <v>150</v>
      </c>
      <c r="D74" s="6"/>
      <c r="E74" s="7">
        <f>VLOOKUP(C74,PipeN!$B$3:$D$48,3,FALSE)</f>
        <v>168.3</v>
      </c>
      <c r="F74" s="7">
        <f>VLOOKUP(C74,PipeN!$B$72:$D$101,3,FALSE)</f>
        <v>159</v>
      </c>
      <c r="G74" s="12">
        <v>70</v>
      </c>
      <c r="I74" s="18"/>
      <c r="J74" s="18"/>
      <c r="K74" s="18"/>
      <c r="M74" s="18"/>
    </row>
    <row r="75" spans="1:13" s="1" customFormat="1" x14ac:dyDescent="0.15">
      <c r="A75" s="13" t="s">
        <v>92</v>
      </c>
      <c r="B75" s="6" t="s">
        <v>156</v>
      </c>
      <c r="C75" s="12">
        <v>200</v>
      </c>
      <c r="D75" s="6"/>
      <c r="E75" s="7">
        <f>VLOOKUP(C75,PipeN!$B$3:$D$48,3,FALSE)</f>
        <v>219.1</v>
      </c>
      <c r="F75" s="7">
        <f>VLOOKUP(C75,PipeN!$B$72:$D$101,3,FALSE)</f>
        <v>219</v>
      </c>
      <c r="G75" s="12">
        <v>80</v>
      </c>
      <c r="I75" s="18"/>
      <c r="J75" s="18"/>
      <c r="K75" s="18"/>
      <c r="M75" s="18"/>
    </row>
    <row r="76" spans="1:13" s="1" customFormat="1" x14ac:dyDescent="0.15">
      <c r="A76" s="13" t="s">
        <v>92</v>
      </c>
      <c r="B76" s="6" t="s">
        <v>156</v>
      </c>
      <c r="C76" s="12">
        <v>250</v>
      </c>
      <c r="D76" s="6"/>
      <c r="E76" s="7">
        <f>VLOOKUP(C76,PipeN!$B$3:$D$48,3,FALSE)</f>
        <v>273</v>
      </c>
      <c r="F76" s="7">
        <f>VLOOKUP(C76,PipeN!$B$72:$D$101,3,FALSE)</f>
        <v>273</v>
      </c>
      <c r="G76" s="12">
        <v>85</v>
      </c>
      <c r="I76" s="18"/>
      <c r="J76" s="18"/>
      <c r="K76" s="18"/>
      <c r="M76" s="18"/>
    </row>
    <row r="77" spans="1:13" s="1" customFormat="1" x14ac:dyDescent="0.15">
      <c r="A77" s="13" t="s">
        <v>92</v>
      </c>
      <c r="B77" s="6" t="s">
        <v>156</v>
      </c>
      <c r="C77" s="12">
        <v>300</v>
      </c>
      <c r="D77" s="6"/>
      <c r="E77" s="7">
        <f>VLOOKUP(C77,PipeN!$B$3:$D$48,3,FALSE)</f>
        <v>323.89999999999998</v>
      </c>
      <c r="F77" s="7">
        <f>VLOOKUP(C77,PipeN!$B$72:$D$101,3,FALSE)</f>
        <v>325</v>
      </c>
      <c r="G77" s="12">
        <v>90</v>
      </c>
      <c r="I77" s="18"/>
      <c r="J77" s="18"/>
      <c r="K77" s="18"/>
      <c r="M77" s="18"/>
    </row>
    <row r="78" spans="1:13" s="1" customFormat="1" x14ac:dyDescent="0.15">
      <c r="A78" s="13" t="s">
        <v>92</v>
      </c>
      <c r="B78" s="6" t="s">
        <v>156</v>
      </c>
      <c r="C78" s="12">
        <v>350</v>
      </c>
      <c r="D78" s="6"/>
      <c r="E78" s="7">
        <f>VLOOKUP(C78,PipeN!$B$3:$D$48,3,FALSE)</f>
        <v>355.6</v>
      </c>
      <c r="F78" s="7">
        <f>VLOOKUP(C78,PipeN!$B$72:$D$101,3,FALSE)</f>
        <v>377</v>
      </c>
      <c r="G78" s="12">
        <v>100</v>
      </c>
      <c r="I78" s="18"/>
      <c r="J78" s="18"/>
      <c r="K78" s="18"/>
      <c r="M78" s="18"/>
    </row>
    <row r="79" spans="1:13" s="1" customFormat="1" x14ac:dyDescent="0.15">
      <c r="A79" s="13" t="s">
        <v>92</v>
      </c>
      <c r="B79" s="6" t="s">
        <v>156</v>
      </c>
      <c r="C79" s="12">
        <v>400</v>
      </c>
      <c r="D79" s="6"/>
      <c r="E79" s="7">
        <f>VLOOKUP(C79,PipeN!$B$3:$D$48,3,FALSE)</f>
        <v>406.4</v>
      </c>
      <c r="F79" s="7">
        <f>VLOOKUP(C79,PipeN!$B$72:$D$101,3,FALSE)</f>
        <v>426</v>
      </c>
      <c r="G79" s="12">
        <v>110</v>
      </c>
      <c r="I79" s="18"/>
      <c r="J79" s="18"/>
      <c r="K79" s="18"/>
      <c r="M79" s="18"/>
    </row>
    <row r="80" spans="1:13" s="1" customFormat="1" x14ac:dyDescent="0.15">
      <c r="A80" s="13" t="s">
        <v>92</v>
      </c>
      <c r="B80" s="6" t="s">
        <v>156</v>
      </c>
      <c r="C80" s="12">
        <v>450</v>
      </c>
      <c r="D80" s="6"/>
      <c r="E80" s="7">
        <f>VLOOKUP(C80,PipeN!$B$3:$D$48,3,FALSE)</f>
        <v>457</v>
      </c>
      <c r="F80" s="7">
        <f>VLOOKUP(C80,PipeN!$B$72:$D$101,3,FALSE)</f>
        <v>480</v>
      </c>
      <c r="G80" s="12">
        <v>120</v>
      </c>
      <c r="I80" s="18"/>
      <c r="J80" s="18"/>
      <c r="K80" s="18"/>
      <c r="M80" s="18"/>
    </row>
    <row r="81" spans="1:16" s="1" customFormat="1" x14ac:dyDescent="0.15">
      <c r="A81" s="13" t="s">
        <v>92</v>
      </c>
      <c r="B81" s="6" t="s">
        <v>156</v>
      </c>
      <c r="C81" s="12">
        <v>500</v>
      </c>
      <c r="D81" s="6"/>
      <c r="E81" s="7">
        <f>VLOOKUP(C81,PipeN!$B$3:$D$48,3,FALSE)</f>
        <v>508</v>
      </c>
      <c r="F81" s="7">
        <f>VLOOKUP(C81,PipeN!$B$72:$D$101,3,FALSE)</f>
        <v>530</v>
      </c>
      <c r="G81" s="12">
        <v>125</v>
      </c>
      <c r="I81" s="18"/>
      <c r="J81" s="18"/>
      <c r="K81" s="18"/>
      <c r="L81" s="11"/>
      <c r="M81" s="18"/>
      <c r="N81" s="11"/>
      <c r="O81" s="11"/>
      <c r="P81" s="11"/>
    </row>
    <row r="82" spans="1:16" s="1" customFormat="1" x14ac:dyDescent="0.15">
      <c r="A82" s="13" t="s">
        <v>92</v>
      </c>
      <c r="B82" s="6" t="s">
        <v>156</v>
      </c>
      <c r="C82" s="12">
        <v>600</v>
      </c>
      <c r="D82" s="6"/>
      <c r="E82" s="7">
        <f>VLOOKUP(C82,PipeN!$B$3:$D$48,3,FALSE)</f>
        <v>610</v>
      </c>
      <c r="F82" s="7">
        <f>VLOOKUP(C82,PipeN!$B$72:$D$101,3,FALSE)</f>
        <v>630</v>
      </c>
      <c r="G82" s="12">
        <v>130</v>
      </c>
      <c r="I82" s="18"/>
      <c r="J82" s="18"/>
      <c r="K82" s="18"/>
      <c r="L82" s="11"/>
      <c r="M82" s="18"/>
      <c r="N82" s="11"/>
      <c r="O82" s="11"/>
      <c r="P82" s="11"/>
    </row>
  </sheetData>
  <phoneticPr fontId="1" type="noConversion"/>
  <dataValidations count="5">
    <dataValidation type="list" allowBlank="1" showInputMessage="1" showErrorMessage="1" sqref="M9:M10">
      <formula1>$C$3:$C$22</formula1>
    </dataValidation>
    <dataValidation type="list" allowBlank="1" showInputMessage="1" showErrorMessage="1" sqref="M6">
      <formula1>$J$2:$J$5</formula1>
    </dataValidation>
    <dataValidation type="list" allowBlank="1" showInputMessage="1" showErrorMessage="1" sqref="M8">
      <formula1>$J$12:$J$14</formula1>
    </dataValidation>
    <dataValidation type="list" allowBlank="1" showInputMessage="1" showErrorMessage="1" sqref="M7">
      <formula1>$M$3:$M$21</formula1>
    </dataValidation>
    <dataValidation type="list" allowBlank="1" showInputMessage="1" showErrorMessage="1" sqref="M12">
      <formula1>$J$32:$J$33</formula1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Pipe!$D$74:$D$83</xm:f>
          </x14:formula1>
          <xm:sqref>M11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C1" zoomScale="115" zoomScaleNormal="115" workbookViewId="0">
      <selection activeCell="N16" sqref="N16"/>
    </sheetView>
  </sheetViews>
  <sheetFormatPr defaultRowHeight="13.5" x14ac:dyDescent="0.15"/>
  <cols>
    <col min="1" max="4" width="9" style="1"/>
    <col min="5" max="13" width="9" style="1" customWidth="1"/>
    <col min="14" max="15" width="8.625" style="1" customWidth="1"/>
    <col min="16" max="16" width="8.625" style="18" customWidth="1"/>
    <col min="17" max="20" width="8.625" style="1" customWidth="1"/>
    <col min="21" max="16384" width="9" style="1"/>
  </cols>
  <sheetData>
    <row r="1" spans="1:20" x14ac:dyDescent="0.15">
      <c r="A1" s="1">
        <v>35</v>
      </c>
      <c r="B1" s="1">
        <v>20</v>
      </c>
      <c r="C1" s="21" t="s">
        <v>201</v>
      </c>
      <c r="E1" s="24" t="s">
        <v>170</v>
      </c>
      <c r="F1" s="24"/>
      <c r="G1" s="24"/>
      <c r="H1" s="26" t="s">
        <v>173</v>
      </c>
      <c r="I1" s="27"/>
      <c r="J1" s="26" t="s">
        <v>174</v>
      </c>
      <c r="K1" s="27"/>
      <c r="L1" s="24" t="s">
        <v>175</v>
      </c>
      <c r="M1" s="24"/>
      <c r="N1" s="20" t="s">
        <v>180</v>
      </c>
      <c r="O1" s="24" t="s">
        <v>181</v>
      </c>
      <c r="P1" s="24"/>
      <c r="Q1" s="24"/>
      <c r="R1" s="24"/>
      <c r="S1" s="24"/>
      <c r="T1" s="24"/>
    </row>
    <row r="2" spans="1:20" x14ac:dyDescent="0.15">
      <c r="C2" s="25" t="s">
        <v>168</v>
      </c>
      <c r="D2" s="25"/>
      <c r="E2" s="12" t="s">
        <v>166</v>
      </c>
      <c r="F2" s="12" t="s">
        <v>167</v>
      </c>
      <c r="G2" s="12" t="s">
        <v>171</v>
      </c>
      <c r="H2" s="12" t="s">
        <v>166</v>
      </c>
      <c r="I2" s="12" t="s">
        <v>171</v>
      </c>
      <c r="J2" s="12" t="s">
        <v>166</v>
      </c>
      <c r="K2" s="12" t="s">
        <v>167</v>
      </c>
      <c r="L2" s="12" t="s">
        <v>178</v>
      </c>
      <c r="M2" s="12" t="s">
        <v>179</v>
      </c>
      <c r="N2" s="20" t="s">
        <v>194</v>
      </c>
      <c r="O2" s="24" t="s">
        <v>184</v>
      </c>
      <c r="P2" s="24"/>
      <c r="Q2" s="24" t="s">
        <v>185</v>
      </c>
      <c r="R2" s="24"/>
      <c r="S2" s="20" t="s">
        <v>190</v>
      </c>
      <c r="T2" s="20" t="s">
        <v>191</v>
      </c>
    </row>
    <row r="3" spans="1:20" x14ac:dyDescent="0.15">
      <c r="A3" s="12" t="s">
        <v>163</v>
      </c>
      <c r="B3" s="12" t="s">
        <v>10</v>
      </c>
      <c r="C3" s="12" t="s">
        <v>169</v>
      </c>
      <c r="D3" s="12" t="s">
        <v>2</v>
      </c>
      <c r="E3" s="12" t="s">
        <v>164</v>
      </c>
      <c r="F3" s="12" t="s">
        <v>165</v>
      </c>
      <c r="G3" s="12" t="s">
        <v>172</v>
      </c>
      <c r="H3" s="12" t="s">
        <v>164</v>
      </c>
      <c r="I3" s="12" t="s">
        <v>172</v>
      </c>
      <c r="J3" s="12" t="s">
        <v>164</v>
      </c>
      <c r="K3" s="12" t="s">
        <v>165</v>
      </c>
      <c r="L3" s="12" t="s">
        <v>176</v>
      </c>
      <c r="M3" s="12" t="s">
        <v>177</v>
      </c>
      <c r="N3" s="20" t="s">
        <v>183</v>
      </c>
      <c r="O3" s="20" t="s">
        <v>188</v>
      </c>
      <c r="P3" s="20" t="s">
        <v>189</v>
      </c>
      <c r="Q3" s="20" t="s">
        <v>186</v>
      </c>
      <c r="R3" s="20" t="s">
        <v>187</v>
      </c>
      <c r="S3" s="20" t="s">
        <v>192</v>
      </c>
      <c r="T3" s="20" t="s">
        <v>193</v>
      </c>
    </row>
    <row r="4" spans="1:20" x14ac:dyDescent="0.15">
      <c r="A4" s="12">
        <v>15</v>
      </c>
      <c r="B4" s="7" t="str">
        <f>VLOOKUP(A4,PipeN!$B$3:$D$48,2,FALSE)</f>
        <v>1/2"</v>
      </c>
      <c r="C4" s="7">
        <f>VLOOKUP(A4,PipeN!$B$3:$D$48,3,FALSE)</f>
        <v>21.3</v>
      </c>
      <c r="D4" s="7">
        <f>VLOOKUP(A4,PipeN!$B$72:$D$101,3,FALSE)</f>
        <v>18</v>
      </c>
      <c r="E4" s="12">
        <v>38</v>
      </c>
      <c r="F4" s="12">
        <v>16</v>
      </c>
      <c r="G4" s="12">
        <v>76</v>
      </c>
      <c r="H4" s="12"/>
      <c r="I4" s="12"/>
      <c r="J4" s="12"/>
      <c r="K4" s="12"/>
      <c r="L4" s="12">
        <v>25</v>
      </c>
      <c r="M4" s="12">
        <v>25</v>
      </c>
      <c r="N4" s="20">
        <v>25</v>
      </c>
      <c r="O4" s="20">
        <v>22.8</v>
      </c>
      <c r="P4" s="20">
        <v>20.5</v>
      </c>
      <c r="Q4" s="20">
        <v>76</v>
      </c>
      <c r="R4" s="20">
        <v>51</v>
      </c>
      <c r="S4" s="20">
        <v>3</v>
      </c>
      <c r="T4" s="20">
        <v>35</v>
      </c>
    </row>
    <row r="5" spans="1:20" x14ac:dyDescent="0.15">
      <c r="A5" s="12">
        <v>20</v>
      </c>
      <c r="B5" s="7" t="str">
        <f>VLOOKUP(A5,PipeN!$B$3:$D$48,2,FALSE)</f>
        <v>3/4"</v>
      </c>
      <c r="C5" s="7">
        <f>VLOOKUP(A5,PipeN!$B$3:$D$48,3,FALSE)</f>
        <v>26.9</v>
      </c>
      <c r="D5" s="7">
        <f>VLOOKUP(A5,PipeN!$B$72:$D$101,3,FALSE)</f>
        <v>25</v>
      </c>
      <c r="E5" s="12">
        <v>38</v>
      </c>
      <c r="F5" s="12">
        <v>19</v>
      </c>
      <c r="G5" s="12">
        <v>76</v>
      </c>
      <c r="H5" s="12"/>
      <c r="I5" s="12"/>
      <c r="J5" s="12">
        <v>57</v>
      </c>
      <c r="K5" s="12">
        <v>24</v>
      </c>
      <c r="L5" s="12">
        <v>29</v>
      </c>
      <c r="M5" s="12">
        <v>29</v>
      </c>
      <c r="N5" s="20">
        <v>25</v>
      </c>
      <c r="O5" s="20">
        <v>28.1</v>
      </c>
      <c r="P5" s="20">
        <v>25.9</v>
      </c>
      <c r="Q5" s="20">
        <v>76</v>
      </c>
      <c r="R5" s="20">
        <v>51</v>
      </c>
      <c r="S5" s="20">
        <v>3</v>
      </c>
      <c r="T5" s="20">
        <v>43</v>
      </c>
    </row>
    <row r="6" spans="1:20" x14ac:dyDescent="0.15">
      <c r="A6" s="12">
        <v>25</v>
      </c>
      <c r="B6" s="7" t="str">
        <f>VLOOKUP(A6,PipeN!$B$3:$D$48,2,FALSE)</f>
        <v>1"</v>
      </c>
      <c r="C6" s="7">
        <f>VLOOKUP(A6,PipeN!$B$3:$D$48,3,FALSE)</f>
        <v>33.700000000000003</v>
      </c>
      <c r="D6" s="7">
        <f>VLOOKUP(A6,PipeN!$B$72:$D$101,3,FALSE)</f>
        <v>32</v>
      </c>
      <c r="E6" s="12">
        <v>38</v>
      </c>
      <c r="F6" s="12">
        <v>22</v>
      </c>
      <c r="G6" s="12">
        <v>76</v>
      </c>
      <c r="H6" s="12">
        <v>25</v>
      </c>
      <c r="I6" s="12">
        <v>61</v>
      </c>
      <c r="J6" s="12">
        <v>76</v>
      </c>
      <c r="K6" s="12">
        <v>31</v>
      </c>
      <c r="L6" s="12">
        <v>38</v>
      </c>
      <c r="M6" s="12">
        <v>38</v>
      </c>
      <c r="N6" s="20">
        <v>38</v>
      </c>
      <c r="O6" s="20">
        <v>35</v>
      </c>
      <c r="P6" s="20">
        <v>32.6</v>
      </c>
      <c r="Q6" s="20">
        <v>102</v>
      </c>
      <c r="R6" s="20">
        <v>51</v>
      </c>
      <c r="S6" s="20">
        <v>3</v>
      </c>
      <c r="T6" s="20">
        <v>51</v>
      </c>
    </row>
    <row r="7" spans="1:20" x14ac:dyDescent="0.15">
      <c r="A7" s="12">
        <v>32</v>
      </c>
      <c r="B7" s="7" t="str">
        <f>VLOOKUP(A7,PipeN!$B$3:$D$48,2,FALSE)</f>
        <v>1 1/4"</v>
      </c>
      <c r="C7" s="7">
        <f>VLOOKUP(A7,PipeN!$B$3:$D$48,3,FALSE)</f>
        <v>42.4</v>
      </c>
      <c r="D7" s="7">
        <f>VLOOKUP(A7,PipeN!$B$72:$D$101,3,FALSE)</f>
        <v>38</v>
      </c>
      <c r="E7" s="12">
        <v>48</v>
      </c>
      <c r="F7" s="12">
        <v>25</v>
      </c>
      <c r="G7" s="12">
        <v>95</v>
      </c>
      <c r="H7" s="12">
        <v>32</v>
      </c>
      <c r="I7" s="12">
        <v>64</v>
      </c>
      <c r="J7" s="12">
        <v>95</v>
      </c>
      <c r="K7" s="12">
        <v>39</v>
      </c>
      <c r="L7" s="12">
        <v>48</v>
      </c>
      <c r="M7" s="12">
        <v>48</v>
      </c>
      <c r="N7" s="20">
        <v>68</v>
      </c>
      <c r="O7" s="20">
        <v>43.6</v>
      </c>
      <c r="P7" s="20">
        <v>41.4</v>
      </c>
      <c r="Q7" s="20">
        <v>102</v>
      </c>
      <c r="R7" s="20">
        <v>51</v>
      </c>
      <c r="S7" s="20">
        <v>5</v>
      </c>
      <c r="T7" s="20">
        <v>64</v>
      </c>
    </row>
    <row r="8" spans="1:20" x14ac:dyDescent="0.15">
      <c r="A8" s="12">
        <v>40</v>
      </c>
      <c r="B8" s="7" t="str">
        <f>VLOOKUP(A8,PipeN!$B$3:$D$48,2,FALSE)</f>
        <v>1 1/2"</v>
      </c>
      <c r="C8" s="7">
        <f>VLOOKUP(A8,PipeN!$B$3:$D$48,3,FALSE)</f>
        <v>48.3</v>
      </c>
      <c r="D8" s="7">
        <f>VLOOKUP(A8,PipeN!$B$72:$D$101,3,FALSE)</f>
        <v>45</v>
      </c>
      <c r="E8" s="12">
        <v>57</v>
      </c>
      <c r="F8" s="12">
        <v>29</v>
      </c>
      <c r="G8" s="12">
        <v>114</v>
      </c>
      <c r="H8" s="12">
        <v>38</v>
      </c>
      <c r="I8" s="12">
        <v>75</v>
      </c>
      <c r="J8" s="12">
        <v>114</v>
      </c>
      <c r="K8" s="12">
        <v>47</v>
      </c>
      <c r="L8" s="12">
        <v>57</v>
      </c>
      <c r="M8" s="13">
        <v>57</v>
      </c>
      <c r="N8" s="20">
        <v>38</v>
      </c>
      <c r="O8" s="20">
        <v>49.9</v>
      </c>
      <c r="P8" s="20">
        <v>47.5</v>
      </c>
      <c r="Q8" s="20">
        <v>102</v>
      </c>
      <c r="R8" s="20">
        <v>51</v>
      </c>
      <c r="S8" s="20">
        <v>6</v>
      </c>
      <c r="T8" s="20">
        <v>73</v>
      </c>
    </row>
    <row r="9" spans="1:20" x14ac:dyDescent="0.15">
      <c r="A9" s="12">
        <v>50</v>
      </c>
      <c r="B9" s="7" t="str">
        <f>VLOOKUP(A9,PipeN!$B$3:$D$48,2,FALSE)</f>
        <v>2"</v>
      </c>
      <c r="C9" s="7">
        <f>VLOOKUP(A9,PipeN!$B$3:$D$48,3,FALSE)</f>
        <v>60.3</v>
      </c>
      <c r="D9" s="7">
        <f>VLOOKUP(A9,PipeN!$B$72:$D$101,3,FALSE)</f>
        <v>57</v>
      </c>
      <c r="E9" s="12">
        <v>76</v>
      </c>
      <c r="F9" s="12">
        <v>35</v>
      </c>
      <c r="G9" s="12">
        <v>152</v>
      </c>
      <c r="H9" s="12">
        <v>51</v>
      </c>
      <c r="I9" s="12">
        <v>102</v>
      </c>
      <c r="J9" s="12">
        <v>152</v>
      </c>
      <c r="K9" s="12">
        <v>63</v>
      </c>
      <c r="L9" s="12">
        <v>64</v>
      </c>
      <c r="M9" s="12">
        <v>64</v>
      </c>
      <c r="N9" s="20">
        <v>38</v>
      </c>
      <c r="O9" s="20">
        <v>62.4</v>
      </c>
      <c r="P9" s="20">
        <v>59.5</v>
      </c>
      <c r="Q9" s="20">
        <v>152</v>
      </c>
      <c r="R9" s="20">
        <v>64</v>
      </c>
      <c r="S9" s="20">
        <v>8</v>
      </c>
      <c r="T9" s="20">
        <v>92</v>
      </c>
    </row>
    <row r="10" spans="1:20" x14ac:dyDescent="0.15">
      <c r="A10" s="12">
        <v>65</v>
      </c>
      <c r="B10" s="7" t="str">
        <f>VLOOKUP(A10,PipeN!$B$3:$D$48,2,FALSE)</f>
        <v>2 1/2"</v>
      </c>
      <c r="C10" s="7">
        <f>VLOOKUP(A10,PipeN!$B$3:$D$48,3,FALSE)</f>
        <v>76.099999999999994</v>
      </c>
      <c r="D10" s="7">
        <f>VLOOKUP(A10,PipeN!$B$72:$D$101,3,FALSE)</f>
        <v>76</v>
      </c>
      <c r="E10" s="12">
        <v>95</v>
      </c>
      <c r="F10" s="12">
        <v>44</v>
      </c>
      <c r="G10" s="12">
        <v>190</v>
      </c>
      <c r="H10" s="12">
        <v>54</v>
      </c>
      <c r="I10" s="12">
        <v>127</v>
      </c>
      <c r="J10" s="12">
        <v>190</v>
      </c>
      <c r="K10" s="12">
        <v>79</v>
      </c>
      <c r="L10" s="12">
        <v>76</v>
      </c>
      <c r="M10" s="12">
        <v>76</v>
      </c>
      <c r="N10" s="20">
        <v>38</v>
      </c>
      <c r="O10" s="20">
        <v>75.3</v>
      </c>
      <c r="P10" s="20">
        <v>72.2</v>
      </c>
      <c r="Q10" s="20">
        <v>152</v>
      </c>
      <c r="R10" s="20">
        <v>64</v>
      </c>
      <c r="S10" s="20">
        <v>8</v>
      </c>
      <c r="T10" s="20">
        <v>105</v>
      </c>
    </row>
    <row r="11" spans="1:20" x14ac:dyDescent="0.15">
      <c r="A11" s="12">
        <v>80</v>
      </c>
      <c r="B11" s="7" t="str">
        <f>VLOOKUP(A11,PipeN!$B$3:$D$48,2,FALSE)</f>
        <v>3"</v>
      </c>
      <c r="C11" s="7">
        <f>VLOOKUP(A11,PipeN!$B$3:$D$48,3,FALSE)</f>
        <v>88.9</v>
      </c>
      <c r="D11" s="7">
        <f>VLOOKUP(A11,PipeN!$B$72:$D$101,3,FALSE)</f>
        <v>89</v>
      </c>
      <c r="E11" s="12">
        <v>114</v>
      </c>
      <c r="F11" s="12">
        <v>51</v>
      </c>
      <c r="G11" s="12">
        <v>229</v>
      </c>
      <c r="H11" s="12">
        <v>76</v>
      </c>
      <c r="I11" s="12">
        <v>152</v>
      </c>
      <c r="J11" s="12">
        <v>229</v>
      </c>
      <c r="K11" s="12">
        <v>95</v>
      </c>
      <c r="L11" s="12">
        <v>86</v>
      </c>
      <c r="M11" s="12">
        <v>86</v>
      </c>
      <c r="N11" s="20">
        <v>51</v>
      </c>
      <c r="O11" s="20">
        <v>91.3</v>
      </c>
      <c r="P11" s="20">
        <v>88.1</v>
      </c>
      <c r="Q11" s="20">
        <v>152</v>
      </c>
      <c r="R11" s="20">
        <v>64</v>
      </c>
      <c r="S11" s="20">
        <v>10</v>
      </c>
      <c r="T11" s="20">
        <v>127</v>
      </c>
    </row>
    <row r="12" spans="1:20" x14ac:dyDescent="0.15">
      <c r="A12" s="12">
        <v>100</v>
      </c>
      <c r="B12" s="7" t="str">
        <f>VLOOKUP(A12,PipeN!$B$3:$D$48,2,FALSE)</f>
        <v>4"</v>
      </c>
      <c r="C12" s="7">
        <f>VLOOKUP(A12,PipeN!$B$3:$D$48,3,FALSE)</f>
        <v>114.3</v>
      </c>
      <c r="D12" s="7">
        <f>VLOOKUP(A12,PipeN!$B$72:$D$101,3,FALSE)</f>
        <v>108</v>
      </c>
      <c r="E12" s="12">
        <v>152</v>
      </c>
      <c r="F12" s="12">
        <v>64</v>
      </c>
      <c r="G12" s="12">
        <v>305</v>
      </c>
      <c r="H12" s="12">
        <v>102</v>
      </c>
      <c r="I12" s="12">
        <v>203</v>
      </c>
      <c r="J12" s="12">
        <v>305</v>
      </c>
      <c r="K12" s="12">
        <v>127</v>
      </c>
      <c r="L12" s="12">
        <v>105</v>
      </c>
      <c r="M12" s="12">
        <v>105</v>
      </c>
      <c r="N12" s="20">
        <v>64</v>
      </c>
      <c r="O12" s="20">
        <v>116.7</v>
      </c>
      <c r="P12" s="20">
        <v>113.5</v>
      </c>
      <c r="Q12" s="20">
        <v>152</v>
      </c>
      <c r="R12" s="20">
        <v>76</v>
      </c>
      <c r="S12" s="20">
        <v>11</v>
      </c>
      <c r="T12" s="20">
        <v>157</v>
      </c>
    </row>
    <row r="13" spans="1:20" x14ac:dyDescent="0.15">
      <c r="A13" s="12">
        <v>125</v>
      </c>
      <c r="B13" s="7" t="str">
        <f>VLOOKUP(A13,PipeN!$B$3:$D$48,2,FALSE)</f>
        <v>5"</v>
      </c>
      <c r="C13" s="7">
        <f>VLOOKUP(A13,PipeN!$B$3:$D$48,3,FALSE)</f>
        <v>139.69999999999999</v>
      </c>
      <c r="D13" s="7">
        <f>VLOOKUP(A13,PipeN!$B$72:$D$101,3,FALSE)</f>
        <v>133</v>
      </c>
      <c r="E13" s="12">
        <v>190</v>
      </c>
      <c r="F13" s="12">
        <v>79</v>
      </c>
      <c r="G13" s="12">
        <v>381</v>
      </c>
      <c r="H13" s="12">
        <v>127</v>
      </c>
      <c r="I13" s="12">
        <v>254</v>
      </c>
      <c r="J13" s="12">
        <v>381</v>
      </c>
      <c r="K13" s="12">
        <v>157</v>
      </c>
      <c r="L13" s="12">
        <v>124</v>
      </c>
      <c r="M13" s="12">
        <v>124</v>
      </c>
      <c r="N13" s="20">
        <v>76</v>
      </c>
      <c r="O13" s="20">
        <v>144.30000000000001</v>
      </c>
      <c r="P13" s="20">
        <v>140.5</v>
      </c>
      <c r="Q13" s="20">
        <v>203</v>
      </c>
      <c r="R13" s="20">
        <v>76</v>
      </c>
      <c r="S13" s="20">
        <v>11</v>
      </c>
      <c r="T13" s="20">
        <v>186</v>
      </c>
    </row>
    <row r="14" spans="1:20" x14ac:dyDescent="0.15">
      <c r="A14" s="12">
        <v>150</v>
      </c>
      <c r="B14" s="7" t="str">
        <f>VLOOKUP(A14,PipeN!$B$3:$D$48,2,FALSE)</f>
        <v>6"</v>
      </c>
      <c r="C14" s="7">
        <f>VLOOKUP(A14,PipeN!$B$3:$D$48,3,FALSE)</f>
        <v>168.3</v>
      </c>
      <c r="D14" s="7">
        <f>VLOOKUP(A14,PipeN!$B$72:$D$101,3,FALSE)</f>
        <v>159</v>
      </c>
      <c r="E14" s="12">
        <v>229</v>
      </c>
      <c r="F14" s="12">
        <v>95</v>
      </c>
      <c r="G14" s="12">
        <v>457</v>
      </c>
      <c r="H14" s="12">
        <v>152</v>
      </c>
      <c r="I14" s="12">
        <v>305</v>
      </c>
      <c r="J14" s="17">
        <v>457</v>
      </c>
      <c r="K14" s="12">
        <v>189</v>
      </c>
      <c r="L14" s="12">
        <v>143</v>
      </c>
      <c r="M14" s="12">
        <v>143</v>
      </c>
      <c r="N14" s="20">
        <v>89</v>
      </c>
      <c r="O14" s="20">
        <v>171.3</v>
      </c>
      <c r="P14" s="20">
        <v>167.5</v>
      </c>
      <c r="Q14" s="20">
        <v>203</v>
      </c>
      <c r="R14" s="20">
        <v>89</v>
      </c>
      <c r="S14" s="20">
        <v>13</v>
      </c>
      <c r="T14" s="20">
        <v>216</v>
      </c>
    </row>
    <row r="15" spans="1:20" x14ac:dyDescent="0.15">
      <c r="A15" s="12">
        <v>200</v>
      </c>
      <c r="B15" s="7" t="str">
        <f>VLOOKUP(A15,PipeN!$B$3:$D$48,2,FALSE)</f>
        <v>8"</v>
      </c>
      <c r="C15" s="7">
        <f>VLOOKUP(A15,PipeN!$B$3:$D$48,3,FALSE)</f>
        <v>219.1</v>
      </c>
      <c r="D15" s="7">
        <f>VLOOKUP(A15,PipeN!$B$72:$D$101,3,FALSE)</f>
        <v>219</v>
      </c>
      <c r="E15" s="12">
        <v>305</v>
      </c>
      <c r="F15" s="12">
        <v>127</v>
      </c>
      <c r="G15" s="12">
        <v>610</v>
      </c>
      <c r="H15" s="12">
        <v>203</v>
      </c>
      <c r="I15" s="12">
        <v>406</v>
      </c>
      <c r="J15" s="1">
        <v>610</v>
      </c>
      <c r="K15" s="12">
        <v>252</v>
      </c>
      <c r="L15" s="12">
        <v>178</v>
      </c>
      <c r="M15" s="12">
        <v>178</v>
      </c>
      <c r="N15" s="20">
        <v>102</v>
      </c>
      <c r="O15" s="20">
        <v>222.1</v>
      </c>
      <c r="P15" s="20">
        <v>218.3</v>
      </c>
      <c r="Q15" s="20">
        <v>203</v>
      </c>
      <c r="R15" s="20">
        <v>102</v>
      </c>
      <c r="S15" s="20">
        <v>13</v>
      </c>
      <c r="T15" s="20">
        <v>270</v>
      </c>
    </row>
    <row r="16" spans="1:20" x14ac:dyDescent="0.15">
      <c r="A16" s="12">
        <v>250</v>
      </c>
      <c r="B16" s="7" t="str">
        <f>VLOOKUP(A16,PipeN!$B$3:$D$48,2,FALSE)</f>
        <v>10"</v>
      </c>
      <c r="C16" s="7">
        <f>VLOOKUP(A16,PipeN!$B$3:$D$48,3,FALSE)</f>
        <v>273</v>
      </c>
      <c r="D16" s="7">
        <f>VLOOKUP(A16,PipeN!$B$72:$D$101,3,FALSE)</f>
        <v>273</v>
      </c>
      <c r="E16" s="12">
        <v>381</v>
      </c>
      <c r="F16" s="12">
        <v>159</v>
      </c>
      <c r="G16" s="12">
        <v>762</v>
      </c>
      <c r="H16" s="12">
        <v>254</v>
      </c>
      <c r="I16" s="12">
        <v>508</v>
      </c>
      <c r="J16" s="1">
        <v>762</v>
      </c>
      <c r="K16" s="12">
        <v>316</v>
      </c>
      <c r="L16" s="12">
        <v>216</v>
      </c>
      <c r="M16" s="12">
        <v>216</v>
      </c>
      <c r="N16" s="20">
        <v>127</v>
      </c>
      <c r="O16" s="20">
        <v>277.2</v>
      </c>
      <c r="P16" s="20">
        <v>272.3</v>
      </c>
      <c r="Q16" s="20">
        <v>254</v>
      </c>
      <c r="R16" s="20">
        <v>127</v>
      </c>
      <c r="S16" s="20">
        <v>13</v>
      </c>
      <c r="T16" s="20">
        <v>324</v>
      </c>
    </row>
    <row r="17" spans="1:20" x14ac:dyDescent="0.15">
      <c r="A17" s="12">
        <v>300</v>
      </c>
      <c r="B17" s="7" t="str">
        <f>VLOOKUP(A17,PipeN!$B$3:$D$48,2,FALSE)</f>
        <v>12"</v>
      </c>
      <c r="C17" s="7">
        <f>VLOOKUP(A17,PipeN!$B$3:$D$48,3,FALSE)</f>
        <v>323.89999999999998</v>
      </c>
      <c r="D17" s="7">
        <f>VLOOKUP(A17,PipeN!$B$72:$D$101,3,FALSE)</f>
        <v>325</v>
      </c>
      <c r="E17" s="12">
        <v>457</v>
      </c>
      <c r="F17" s="12">
        <v>190</v>
      </c>
      <c r="G17" s="12">
        <v>914</v>
      </c>
      <c r="H17" s="12">
        <v>305</v>
      </c>
      <c r="I17" s="12">
        <v>610</v>
      </c>
      <c r="J17" s="1">
        <v>914</v>
      </c>
      <c r="K17" s="12">
        <v>378</v>
      </c>
      <c r="L17" s="12">
        <v>254</v>
      </c>
      <c r="M17" s="12">
        <v>254</v>
      </c>
      <c r="N17" s="20">
        <v>152</v>
      </c>
      <c r="O17" s="20">
        <v>328</v>
      </c>
      <c r="P17" s="20">
        <v>323.10000000000002</v>
      </c>
      <c r="Q17" s="20">
        <v>254</v>
      </c>
      <c r="R17" s="20">
        <v>152</v>
      </c>
      <c r="S17" s="20">
        <v>13</v>
      </c>
      <c r="T17" s="20">
        <v>381</v>
      </c>
    </row>
    <row r="18" spans="1:20" x14ac:dyDescent="0.15">
      <c r="A18" s="12">
        <v>350</v>
      </c>
      <c r="B18" s="7" t="str">
        <f>VLOOKUP(A18,PipeN!$B$3:$D$48,2,FALSE)</f>
        <v>14"</v>
      </c>
      <c r="C18" s="7">
        <f>VLOOKUP(A18,PipeN!$B$3:$D$48,3,FALSE)</f>
        <v>355.6</v>
      </c>
      <c r="D18" s="7">
        <f>VLOOKUP(A18,PipeN!$B$72:$D$101,3,FALSE)</f>
        <v>377</v>
      </c>
      <c r="E18" s="12">
        <v>533</v>
      </c>
      <c r="F18" s="12">
        <v>222</v>
      </c>
      <c r="G18" s="12">
        <v>1067</v>
      </c>
      <c r="H18" s="12">
        <v>356</v>
      </c>
      <c r="I18" s="12">
        <v>711</v>
      </c>
      <c r="J18" s="12">
        <v>1067</v>
      </c>
      <c r="K18" s="12">
        <v>441</v>
      </c>
      <c r="L18" s="12">
        <v>279</v>
      </c>
      <c r="M18" s="12">
        <v>279</v>
      </c>
      <c r="N18" s="20">
        <v>165</v>
      </c>
      <c r="O18" s="20">
        <v>359.9</v>
      </c>
      <c r="P18" s="20">
        <v>354.8</v>
      </c>
      <c r="Q18" s="20">
        <v>305</v>
      </c>
      <c r="R18" s="20">
        <v>152</v>
      </c>
      <c r="S18" s="20">
        <v>13</v>
      </c>
      <c r="T18" s="20">
        <v>413</v>
      </c>
    </row>
    <row r="19" spans="1:20" x14ac:dyDescent="0.15">
      <c r="A19" s="12">
        <v>400</v>
      </c>
      <c r="B19" s="7" t="str">
        <f>VLOOKUP(A19,PipeN!$B$3:$D$48,2,FALSE)</f>
        <v>16"</v>
      </c>
      <c r="C19" s="7">
        <f>VLOOKUP(A19,PipeN!$B$3:$D$48,3,FALSE)</f>
        <v>406.4</v>
      </c>
      <c r="D19" s="7">
        <f>VLOOKUP(A19,PipeN!$B$72:$D$101,3,FALSE)</f>
        <v>426</v>
      </c>
      <c r="E19" s="12">
        <v>610</v>
      </c>
      <c r="F19" s="12">
        <v>254</v>
      </c>
      <c r="G19" s="12">
        <v>1219</v>
      </c>
      <c r="H19" s="12">
        <v>406</v>
      </c>
      <c r="I19" s="12">
        <v>813</v>
      </c>
      <c r="J19" s="12">
        <v>1219</v>
      </c>
      <c r="K19" s="12">
        <v>505</v>
      </c>
      <c r="L19" s="12">
        <v>305</v>
      </c>
      <c r="M19" s="12">
        <v>305</v>
      </c>
      <c r="N19" s="20">
        <v>178</v>
      </c>
      <c r="O19" s="20">
        <v>411</v>
      </c>
      <c r="P19" s="20">
        <v>405.6</v>
      </c>
      <c r="Q19" s="20">
        <v>305</v>
      </c>
      <c r="R19" s="20">
        <v>152</v>
      </c>
      <c r="S19" s="20">
        <v>13</v>
      </c>
      <c r="T19" s="20">
        <v>470</v>
      </c>
    </row>
    <row r="20" spans="1:20" x14ac:dyDescent="0.15">
      <c r="A20" s="12">
        <v>450</v>
      </c>
      <c r="B20" s="7" t="str">
        <f>VLOOKUP(A20,PipeN!$B$3:$D$48,2,FALSE)</f>
        <v>18"</v>
      </c>
      <c r="C20" s="7">
        <f>VLOOKUP(A20,PipeN!$B$3:$D$48,3,FALSE)</f>
        <v>457</v>
      </c>
      <c r="D20" s="7">
        <f>VLOOKUP(A20,PipeN!$B$72:$D$101,3,FALSE)</f>
        <v>480</v>
      </c>
      <c r="E20" s="12">
        <v>686</v>
      </c>
      <c r="F20" s="12">
        <v>286</v>
      </c>
      <c r="G20" s="12">
        <v>1372</v>
      </c>
      <c r="H20" s="12">
        <v>457</v>
      </c>
      <c r="I20" s="12">
        <v>914</v>
      </c>
      <c r="J20" s="12">
        <v>1372</v>
      </c>
      <c r="K20" s="12">
        <v>568</v>
      </c>
      <c r="L20" s="12">
        <v>343</v>
      </c>
      <c r="M20" s="12">
        <v>343</v>
      </c>
      <c r="N20" s="20">
        <v>203</v>
      </c>
      <c r="O20" s="20">
        <v>462</v>
      </c>
      <c r="P20" s="20">
        <v>456</v>
      </c>
      <c r="Q20" s="20">
        <v>305</v>
      </c>
      <c r="R20" s="20">
        <v>152</v>
      </c>
      <c r="S20" s="20">
        <v>13</v>
      </c>
      <c r="T20" s="20">
        <v>533</v>
      </c>
    </row>
    <row r="21" spans="1:20" x14ac:dyDescent="0.15">
      <c r="A21" s="12">
        <v>500</v>
      </c>
      <c r="B21" s="7" t="str">
        <f>VLOOKUP(A21,PipeN!$B$3:$D$48,2,FALSE)</f>
        <v>20"</v>
      </c>
      <c r="C21" s="7">
        <f>VLOOKUP(A21,PipeN!$B$3:$D$48,3,FALSE)</f>
        <v>508</v>
      </c>
      <c r="D21" s="7">
        <f>VLOOKUP(A21,PipeN!$B$72:$D$101,3,FALSE)</f>
        <v>530</v>
      </c>
      <c r="E21" s="12">
        <v>762</v>
      </c>
      <c r="F21" s="12">
        <v>318</v>
      </c>
      <c r="G21" s="12">
        <v>1524</v>
      </c>
      <c r="H21" s="12">
        <v>508</v>
      </c>
      <c r="I21" s="12">
        <v>1016</v>
      </c>
      <c r="J21" s="12">
        <v>1524</v>
      </c>
      <c r="K21" s="12">
        <v>632</v>
      </c>
      <c r="L21" s="12">
        <v>381</v>
      </c>
      <c r="M21" s="12">
        <v>381</v>
      </c>
      <c r="N21" s="20">
        <v>229</v>
      </c>
      <c r="O21" s="20">
        <v>514</v>
      </c>
      <c r="P21" s="20">
        <v>507</v>
      </c>
      <c r="Q21" s="20">
        <v>305</v>
      </c>
      <c r="R21" s="20">
        <v>152</v>
      </c>
      <c r="S21" s="20">
        <v>13</v>
      </c>
      <c r="T21" s="20">
        <v>584</v>
      </c>
    </row>
    <row r="22" spans="1:20" x14ac:dyDescent="0.15">
      <c r="A22" s="12">
        <v>550</v>
      </c>
      <c r="B22" s="7" t="str">
        <f>VLOOKUP(A22,PipeN!$B$3:$D$48,2,FALSE)</f>
        <v>22"</v>
      </c>
      <c r="C22" s="7">
        <f>VLOOKUP(A22,PipeN!$B$3:$D$48,3,FALSE)</f>
        <v>559</v>
      </c>
      <c r="D22" s="7"/>
      <c r="E22" s="12">
        <v>838</v>
      </c>
      <c r="F22" s="12">
        <v>343</v>
      </c>
      <c r="G22" s="12">
        <v>1676</v>
      </c>
      <c r="H22" s="12">
        <v>559</v>
      </c>
      <c r="I22" s="12">
        <v>1118</v>
      </c>
      <c r="J22" s="12">
        <v>1676</v>
      </c>
      <c r="K22" s="12">
        <v>694</v>
      </c>
      <c r="L22" s="12">
        <v>419</v>
      </c>
      <c r="M22" s="12">
        <v>419</v>
      </c>
      <c r="N22" s="20">
        <v>254</v>
      </c>
      <c r="O22" s="20">
        <v>565</v>
      </c>
      <c r="P22" s="20">
        <v>558</v>
      </c>
      <c r="Q22" s="20">
        <v>305</v>
      </c>
      <c r="R22" s="20">
        <v>152</v>
      </c>
      <c r="S22" s="20">
        <v>13</v>
      </c>
      <c r="T22" s="20">
        <v>641</v>
      </c>
    </row>
    <row r="23" spans="1:20" x14ac:dyDescent="0.15">
      <c r="A23" s="12">
        <v>600</v>
      </c>
      <c r="B23" s="7" t="str">
        <f>VLOOKUP(A23,PipeN!$B$3:$D$48,2,FALSE)</f>
        <v>24"</v>
      </c>
      <c r="C23" s="7">
        <f>VLOOKUP(A23,PipeN!$B$3:$D$48,3,FALSE)</f>
        <v>610</v>
      </c>
      <c r="D23" s="7">
        <f>VLOOKUP(A23,PipeN!$B$72:$D$101,3,FALSE)</f>
        <v>630</v>
      </c>
      <c r="E23" s="12">
        <v>914</v>
      </c>
      <c r="F23" s="12">
        <v>381</v>
      </c>
      <c r="G23" s="12">
        <v>1829</v>
      </c>
      <c r="H23" s="12">
        <v>610</v>
      </c>
      <c r="I23" s="12">
        <v>1219</v>
      </c>
      <c r="J23" s="12">
        <v>1829</v>
      </c>
      <c r="K23" s="12">
        <v>757</v>
      </c>
      <c r="L23" s="12">
        <v>432</v>
      </c>
      <c r="M23" s="12">
        <v>432</v>
      </c>
      <c r="N23" s="20">
        <v>267</v>
      </c>
      <c r="O23" s="20">
        <v>616</v>
      </c>
      <c r="P23" s="20">
        <v>609</v>
      </c>
      <c r="Q23" s="20">
        <v>305</v>
      </c>
      <c r="R23" s="20">
        <v>152</v>
      </c>
      <c r="S23" s="20">
        <v>13</v>
      </c>
      <c r="T23" s="20">
        <v>692</v>
      </c>
    </row>
    <row r="24" spans="1:20" x14ac:dyDescent="0.15">
      <c r="A24" s="12">
        <v>650</v>
      </c>
      <c r="B24" s="7" t="str">
        <f>VLOOKUP(A24,PipeN!$B$3:$D$48,2,FALSE)</f>
        <v>26"</v>
      </c>
      <c r="C24" s="7">
        <f>VLOOKUP(A24,PipeN!$B$3:$D$48,3,FALSE)</f>
        <v>660</v>
      </c>
      <c r="D24" s="7"/>
      <c r="E24" s="12">
        <v>991</v>
      </c>
      <c r="F24" s="12">
        <v>406</v>
      </c>
      <c r="G24" s="12"/>
      <c r="H24" s="12"/>
      <c r="I24" s="12"/>
      <c r="J24" s="12">
        <v>1981</v>
      </c>
      <c r="K24" s="12">
        <v>821</v>
      </c>
      <c r="L24" s="12">
        <v>495</v>
      </c>
      <c r="M24" s="12">
        <v>495</v>
      </c>
      <c r="N24" s="20">
        <v>267</v>
      </c>
      <c r="O24" s="20"/>
      <c r="P24" s="20"/>
      <c r="Q24" s="20"/>
      <c r="R24" s="20"/>
      <c r="S24" s="20"/>
      <c r="T24" s="20"/>
    </row>
    <row r="25" spans="1:20" x14ac:dyDescent="0.15">
      <c r="A25" s="12">
        <v>700</v>
      </c>
      <c r="B25" s="7" t="str">
        <f>VLOOKUP(A25,PipeN!$B$3:$D$48,2,FALSE)</f>
        <v>28"</v>
      </c>
      <c r="C25" s="7">
        <f>VLOOKUP(A25,PipeN!$B$3:$D$48,3,FALSE)</f>
        <v>711</v>
      </c>
      <c r="D25" s="7">
        <f>VLOOKUP(A25,PipeN!$B$72:$D$101,3,FALSE)</f>
        <v>720</v>
      </c>
      <c r="E25" s="12">
        <v>1067</v>
      </c>
      <c r="F25" s="12">
        <v>438</v>
      </c>
      <c r="G25" s="12"/>
      <c r="H25" s="12"/>
      <c r="I25" s="12"/>
      <c r="J25" s="12">
        <v>2134</v>
      </c>
      <c r="K25" s="12">
        <v>883</v>
      </c>
      <c r="L25" s="12">
        <v>521</v>
      </c>
      <c r="M25" s="12">
        <v>521</v>
      </c>
      <c r="N25" s="20">
        <v>267</v>
      </c>
      <c r="O25" s="20"/>
      <c r="P25" s="20"/>
      <c r="Q25" s="20"/>
      <c r="R25" s="20"/>
      <c r="S25" s="20"/>
      <c r="T25" s="20"/>
    </row>
    <row r="26" spans="1:20" x14ac:dyDescent="0.15">
      <c r="A26" s="12">
        <v>750</v>
      </c>
      <c r="B26" s="7" t="str">
        <f>VLOOKUP(A26,PipeN!$B$3:$D$48,2,FALSE)</f>
        <v>30"</v>
      </c>
      <c r="C26" s="7">
        <f>VLOOKUP(A26,PipeN!$B$3:$D$48,3,FALSE)</f>
        <v>762</v>
      </c>
      <c r="D26" s="7"/>
      <c r="E26" s="12">
        <v>1143</v>
      </c>
      <c r="F26" s="12">
        <v>470</v>
      </c>
      <c r="G26" s="12"/>
      <c r="H26" s="12"/>
      <c r="I26" s="12"/>
      <c r="J26" s="12">
        <v>2286</v>
      </c>
      <c r="K26" s="12">
        <v>947</v>
      </c>
      <c r="L26" s="12">
        <v>559</v>
      </c>
      <c r="M26" s="12">
        <v>559</v>
      </c>
      <c r="N26" s="20">
        <v>267</v>
      </c>
      <c r="O26" s="20"/>
      <c r="P26" s="20"/>
      <c r="Q26" s="20"/>
      <c r="R26" s="20"/>
      <c r="S26" s="20"/>
      <c r="T26" s="20"/>
    </row>
    <row r="27" spans="1:20" x14ac:dyDescent="0.15">
      <c r="A27" s="12">
        <v>800</v>
      </c>
      <c r="B27" s="7" t="str">
        <f>VLOOKUP(A27,PipeN!$B$3:$D$48,2,FALSE)</f>
        <v>32"</v>
      </c>
      <c r="C27" s="7">
        <f>VLOOKUP(A27,PipeN!$B$3:$D$48,3,FALSE)</f>
        <v>813</v>
      </c>
      <c r="D27" s="7">
        <f>VLOOKUP(A27,PipeN!$B$72:$D$101,3,FALSE)</f>
        <v>820</v>
      </c>
      <c r="E27" s="12">
        <v>1219</v>
      </c>
      <c r="F27" s="12">
        <v>502</v>
      </c>
      <c r="G27" s="12"/>
      <c r="H27" s="12"/>
      <c r="I27" s="12"/>
      <c r="J27" s="12">
        <v>2438</v>
      </c>
      <c r="K27" s="12">
        <v>1010</v>
      </c>
      <c r="L27" s="12">
        <v>597</v>
      </c>
      <c r="M27" s="12">
        <v>597</v>
      </c>
      <c r="N27" s="20">
        <v>267</v>
      </c>
      <c r="O27" s="20"/>
      <c r="P27" s="20"/>
      <c r="Q27" s="20"/>
      <c r="R27" s="20"/>
      <c r="S27" s="20"/>
      <c r="T27" s="20"/>
    </row>
    <row r="28" spans="1:20" x14ac:dyDescent="0.15">
      <c r="A28" s="12">
        <v>850</v>
      </c>
      <c r="B28" s="7" t="str">
        <f>VLOOKUP(A28,PipeN!$B$3:$D$48,2,FALSE)</f>
        <v>34"</v>
      </c>
      <c r="C28" s="7">
        <f>VLOOKUP(A28,PipeN!$B$3:$D$48,3,FALSE)</f>
        <v>864</v>
      </c>
      <c r="D28" s="7"/>
      <c r="E28" s="12">
        <v>1295</v>
      </c>
      <c r="F28" s="12">
        <v>533</v>
      </c>
      <c r="G28" s="12"/>
      <c r="H28" s="12"/>
      <c r="I28" s="12"/>
      <c r="J28" s="12">
        <v>2591</v>
      </c>
      <c r="K28" s="12">
        <v>1073</v>
      </c>
      <c r="L28" s="12">
        <v>635</v>
      </c>
      <c r="M28" s="12">
        <v>635</v>
      </c>
      <c r="N28" s="20">
        <v>267</v>
      </c>
      <c r="O28" s="20"/>
      <c r="P28" s="20"/>
      <c r="Q28" s="20"/>
      <c r="R28" s="20"/>
      <c r="S28" s="20"/>
      <c r="T28" s="20"/>
    </row>
    <row r="29" spans="1:20" x14ac:dyDescent="0.15">
      <c r="A29" s="12">
        <v>900</v>
      </c>
      <c r="B29" s="7" t="str">
        <f>VLOOKUP(A29,PipeN!$B$3:$D$48,2,FALSE)</f>
        <v>36"</v>
      </c>
      <c r="C29" s="7">
        <f>VLOOKUP(A29,PipeN!$B$3:$D$48,3,FALSE)</f>
        <v>914</v>
      </c>
      <c r="D29" s="7"/>
      <c r="E29" s="12">
        <v>1372</v>
      </c>
      <c r="F29" s="12">
        <v>565</v>
      </c>
      <c r="G29" s="12"/>
      <c r="H29" s="12"/>
      <c r="I29" s="12"/>
      <c r="J29" s="12">
        <v>2743</v>
      </c>
      <c r="K29" s="12">
        <v>1135</v>
      </c>
      <c r="L29" s="12">
        <v>673</v>
      </c>
      <c r="M29" s="12">
        <v>673</v>
      </c>
      <c r="N29" s="20">
        <v>267</v>
      </c>
      <c r="O29" s="20"/>
      <c r="P29" s="20"/>
      <c r="Q29" s="20"/>
      <c r="R29" s="20"/>
      <c r="S29" s="20"/>
      <c r="T29" s="20"/>
    </row>
    <row r="30" spans="1:20" x14ac:dyDescent="0.15">
      <c r="A30" s="12">
        <v>950</v>
      </c>
      <c r="B30" s="7" t="str">
        <f>VLOOKUP(A30,PipeN!$B$3:$D$48,2,FALSE)</f>
        <v>38"</v>
      </c>
      <c r="C30" s="7">
        <f>VLOOKUP(A30,PipeN!$B$3:$D$48,3,FALSE)</f>
        <v>955</v>
      </c>
      <c r="D30" s="7"/>
      <c r="E30" s="12">
        <v>1448</v>
      </c>
      <c r="F30" s="12">
        <v>600</v>
      </c>
      <c r="G30" s="12"/>
      <c r="H30" s="12"/>
      <c r="I30" s="12"/>
      <c r="J30" s="12">
        <v>2896</v>
      </c>
      <c r="K30" s="12">
        <v>1200</v>
      </c>
      <c r="L30" s="12">
        <v>711</v>
      </c>
      <c r="M30" s="12">
        <v>711</v>
      </c>
      <c r="N30" s="20">
        <v>305</v>
      </c>
      <c r="O30" s="20"/>
      <c r="P30" s="20"/>
      <c r="Q30" s="20"/>
      <c r="R30" s="20"/>
      <c r="S30" s="20"/>
      <c r="T30" s="20"/>
    </row>
    <row r="31" spans="1:20" x14ac:dyDescent="0.15">
      <c r="A31" s="12">
        <v>1000</v>
      </c>
      <c r="B31" s="7" t="str">
        <f>VLOOKUP(A31,PipeN!$B$3:$D$48,2,FALSE)</f>
        <v>40"</v>
      </c>
      <c r="C31" s="7">
        <f>VLOOKUP(A31,PipeN!$B$3:$D$48,3,FALSE)</f>
        <v>1016</v>
      </c>
      <c r="D31" s="7"/>
      <c r="E31" s="12">
        <v>1524</v>
      </c>
      <c r="F31" s="12">
        <v>632</v>
      </c>
      <c r="G31" s="12"/>
      <c r="H31" s="12"/>
      <c r="I31" s="12"/>
      <c r="J31" s="12">
        <v>3048</v>
      </c>
      <c r="K31" s="12">
        <v>1264</v>
      </c>
      <c r="L31" s="12">
        <v>749</v>
      </c>
      <c r="M31" s="12">
        <v>749</v>
      </c>
      <c r="N31" s="20">
        <v>305</v>
      </c>
      <c r="O31" s="20"/>
      <c r="P31" s="20"/>
      <c r="Q31" s="20"/>
      <c r="R31" s="20"/>
      <c r="S31" s="20"/>
      <c r="T31" s="20"/>
    </row>
    <row r="32" spans="1:20" x14ac:dyDescent="0.15">
      <c r="A32" s="12">
        <v>1050</v>
      </c>
      <c r="B32" s="7" t="str">
        <f>VLOOKUP(A32,PipeN!$B$3:$D$48,2,FALSE)</f>
        <v>42"</v>
      </c>
      <c r="C32" s="7">
        <f>VLOOKUP(A32,PipeN!$B$3:$D$48,3,FALSE)</f>
        <v>1067</v>
      </c>
      <c r="D32" s="7"/>
      <c r="E32" s="12">
        <v>1600</v>
      </c>
      <c r="F32" s="12">
        <v>660</v>
      </c>
      <c r="G32" s="12"/>
      <c r="H32" s="12"/>
      <c r="I32" s="12"/>
      <c r="J32" s="12">
        <v>3200</v>
      </c>
      <c r="K32" s="12">
        <v>1326</v>
      </c>
      <c r="L32" s="12">
        <v>762</v>
      </c>
      <c r="M32" s="12">
        <v>711</v>
      </c>
      <c r="N32" s="20">
        <v>305</v>
      </c>
      <c r="O32" s="20"/>
      <c r="P32" s="20"/>
      <c r="Q32" s="20"/>
      <c r="R32" s="20"/>
      <c r="S32" s="20"/>
      <c r="T32" s="20"/>
    </row>
    <row r="33" spans="1:20" x14ac:dyDescent="0.15">
      <c r="A33" s="12">
        <v>1100</v>
      </c>
      <c r="B33" s="7" t="str">
        <f>VLOOKUP(A33,PipeN!$B$3:$D$48,2,FALSE)</f>
        <v>44"</v>
      </c>
      <c r="C33" s="7">
        <f>VLOOKUP(A33,PipeN!$B$3:$D$48,3,FALSE)</f>
        <v>1118</v>
      </c>
      <c r="D33" s="7"/>
      <c r="E33" s="12">
        <v>1676</v>
      </c>
      <c r="F33" s="12">
        <v>695</v>
      </c>
      <c r="G33" s="12"/>
      <c r="H33" s="12"/>
      <c r="I33" s="12"/>
      <c r="J33" s="12">
        <v>3353</v>
      </c>
      <c r="K33" s="12">
        <v>1389</v>
      </c>
      <c r="L33" s="12">
        <v>813</v>
      </c>
      <c r="M33" s="12">
        <v>762</v>
      </c>
      <c r="N33" s="20">
        <v>343</v>
      </c>
      <c r="O33" s="20"/>
      <c r="P33" s="20"/>
      <c r="Q33" s="20"/>
      <c r="R33" s="20"/>
      <c r="S33" s="20"/>
      <c r="T33" s="20"/>
    </row>
    <row r="34" spans="1:20" x14ac:dyDescent="0.15">
      <c r="A34" s="12">
        <v>1150</v>
      </c>
      <c r="B34" s="7" t="str">
        <f>VLOOKUP(A34,PipeN!$B$3:$D$48,2,FALSE)</f>
        <v>46"</v>
      </c>
      <c r="C34" s="7">
        <f>VLOOKUP(A34,PipeN!$B$3:$D$48,3,FALSE)</f>
        <v>1168</v>
      </c>
      <c r="D34" s="7"/>
      <c r="E34" s="12">
        <v>1753</v>
      </c>
      <c r="F34" s="12">
        <v>727</v>
      </c>
      <c r="G34" s="12"/>
      <c r="H34" s="12"/>
      <c r="I34" s="12"/>
      <c r="J34" s="12">
        <v>3505</v>
      </c>
      <c r="K34" s="12">
        <v>1453</v>
      </c>
      <c r="L34" s="12">
        <v>851</v>
      </c>
      <c r="M34" s="12">
        <v>800</v>
      </c>
      <c r="N34" s="20">
        <v>343</v>
      </c>
      <c r="O34" s="20"/>
      <c r="P34" s="20"/>
      <c r="Q34" s="20"/>
      <c r="R34" s="20"/>
      <c r="S34" s="20"/>
      <c r="T34" s="20"/>
    </row>
    <row r="35" spans="1:20" x14ac:dyDescent="0.15">
      <c r="A35" s="12">
        <v>1200</v>
      </c>
      <c r="B35" s="7" t="str">
        <f>VLOOKUP(A35,PipeN!$B$3:$D$48,2,FALSE)</f>
        <v>48"</v>
      </c>
      <c r="C35" s="7">
        <f>VLOOKUP(A35,PipeN!$B$3:$D$48,3,FALSE)</f>
        <v>1219</v>
      </c>
      <c r="D35" s="7"/>
      <c r="E35" s="12">
        <v>1829</v>
      </c>
      <c r="F35" s="12">
        <v>759</v>
      </c>
      <c r="G35" s="12"/>
      <c r="H35" s="12"/>
      <c r="I35" s="12"/>
      <c r="J35" s="12">
        <v>3658</v>
      </c>
      <c r="K35" s="12">
        <v>1516</v>
      </c>
      <c r="L35" s="12">
        <v>889</v>
      </c>
      <c r="M35" s="12">
        <v>838</v>
      </c>
      <c r="N35" s="20">
        <v>343</v>
      </c>
      <c r="O35" s="20"/>
      <c r="P35" s="20"/>
      <c r="Q35" s="20"/>
      <c r="R35" s="20"/>
      <c r="S35" s="20"/>
      <c r="T35" s="20"/>
    </row>
    <row r="36" spans="1:20" x14ac:dyDescent="0.15">
      <c r="A36" s="12">
        <v>1300</v>
      </c>
      <c r="B36" s="7" t="str">
        <f>VLOOKUP(A36,PipeN!$B$3:$D$48,2,FALSE)</f>
        <v>52"</v>
      </c>
      <c r="C36" s="7">
        <f>VLOOKUP(A36,PipeN!$B$3:$D$48,3,FALSE)</f>
        <v>1321</v>
      </c>
      <c r="D36" s="7"/>
      <c r="E36" s="12">
        <v>1981</v>
      </c>
      <c r="F36" s="12">
        <v>821</v>
      </c>
      <c r="G36" s="12"/>
      <c r="H36" s="12"/>
      <c r="I36" s="12"/>
      <c r="J36" s="12">
        <v>3962</v>
      </c>
      <c r="K36" s="12">
        <v>1641</v>
      </c>
      <c r="L36" s="12">
        <v>978</v>
      </c>
      <c r="M36" s="12">
        <v>908</v>
      </c>
      <c r="N36" s="20">
        <v>368</v>
      </c>
      <c r="O36" s="20"/>
      <c r="P36" s="20"/>
      <c r="Q36" s="20"/>
      <c r="R36" s="20"/>
      <c r="S36" s="20"/>
      <c r="T36" s="20"/>
    </row>
    <row r="37" spans="1:20" x14ac:dyDescent="0.15">
      <c r="A37" s="12">
        <v>1400</v>
      </c>
      <c r="B37" s="7" t="str">
        <f>VLOOKUP(A37,PipeN!$B$3:$D$48,2,FALSE)</f>
        <v>56"</v>
      </c>
      <c r="C37" s="7">
        <f>VLOOKUP(A37,PipeN!$B$3:$D$48,3,FALSE)</f>
        <v>1422</v>
      </c>
      <c r="D37" s="7"/>
      <c r="E37" s="12">
        <v>2134</v>
      </c>
      <c r="F37" s="12">
        <v>884</v>
      </c>
      <c r="G37" s="12"/>
      <c r="H37" s="12"/>
      <c r="I37" s="12"/>
      <c r="J37" s="12">
        <v>4267</v>
      </c>
      <c r="K37" s="12">
        <v>1768</v>
      </c>
      <c r="L37" s="12">
        <v>1054</v>
      </c>
      <c r="M37" s="12">
        <v>978</v>
      </c>
      <c r="N37" s="20">
        <v>406</v>
      </c>
      <c r="O37" s="20"/>
      <c r="P37" s="20"/>
      <c r="Q37" s="20"/>
      <c r="R37" s="20"/>
      <c r="S37" s="20"/>
      <c r="T37" s="20"/>
    </row>
    <row r="38" spans="1:20" x14ac:dyDescent="0.15">
      <c r="A38" s="12">
        <v>1500</v>
      </c>
      <c r="B38" s="7" t="str">
        <f>VLOOKUP(A38,PipeN!$B$3:$D$48,2,FALSE)</f>
        <v>60"</v>
      </c>
      <c r="C38" s="7">
        <f>VLOOKUP(A38,PipeN!$B$3:$D$48,3,FALSE)</f>
        <v>1524</v>
      </c>
      <c r="D38" s="7"/>
      <c r="E38" s="12">
        <v>2286</v>
      </c>
      <c r="F38" s="12">
        <v>947</v>
      </c>
      <c r="G38" s="12"/>
      <c r="H38" s="12"/>
      <c r="I38" s="12"/>
      <c r="J38" s="12">
        <v>4572</v>
      </c>
      <c r="K38" s="12">
        <v>1894</v>
      </c>
      <c r="L38" s="12">
        <v>1118</v>
      </c>
      <c r="M38" s="12">
        <v>1054</v>
      </c>
      <c r="N38" s="20">
        <v>419</v>
      </c>
      <c r="O38" s="20"/>
      <c r="P38" s="20"/>
      <c r="Q38" s="20"/>
      <c r="R38" s="20"/>
      <c r="S38" s="20"/>
      <c r="T38" s="20"/>
    </row>
  </sheetData>
  <mergeCells count="8">
    <mergeCell ref="Q2:R2"/>
    <mergeCell ref="O2:P2"/>
    <mergeCell ref="O1:T1"/>
    <mergeCell ref="L1:M1"/>
    <mergeCell ref="C2:D2"/>
    <mergeCell ref="E1:G1"/>
    <mergeCell ref="H1:I1"/>
    <mergeCell ref="J1:K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8"/>
  <sheetViews>
    <sheetView zoomScale="115" zoomScaleNormal="115" workbookViewId="0">
      <selection activeCell="C11" sqref="C11"/>
    </sheetView>
  </sheetViews>
  <sheetFormatPr defaultRowHeight="13.5" x14ac:dyDescent="0.15"/>
  <cols>
    <col min="1" max="1" width="6.25" customWidth="1"/>
    <col min="2" max="4" width="9" customWidth="1"/>
    <col min="5" max="5" width="7.375" style="11" customWidth="1"/>
    <col min="6" max="9" width="9" style="11" customWidth="1"/>
    <col min="10" max="11" width="9" customWidth="1"/>
  </cols>
  <sheetData>
    <row r="1" spans="1:11" x14ac:dyDescent="0.15">
      <c r="A1" s="18">
        <v>225</v>
      </c>
      <c r="B1" s="18">
        <v>11</v>
      </c>
      <c r="C1" s="18"/>
      <c r="D1" s="21" t="s">
        <v>182</v>
      </c>
      <c r="E1" s="18"/>
      <c r="F1" s="18"/>
      <c r="G1" s="18"/>
      <c r="H1" s="18"/>
      <c r="I1" s="18" t="s">
        <v>198</v>
      </c>
      <c r="J1" s="24" t="s">
        <v>199</v>
      </c>
      <c r="K1" s="24"/>
    </row>
    <row r="2" spans="1:11" x14ac:dyDescent="0.15">
      <c r="A2" s="18"/>
      <c r="B2" s="18"/>
      <c r="C2" s="25" t="s">
        <v>168</v>
      </c>
      <c r="D2" s="25"/>
      <c r="E2" s="19"/>
      <c r="F2" s="19"/>
      <c r="G2" s="19"/>
      <c r="H2" s="19"/>
      <c r="I2" s="20" t="s">
        <v>166</v>
      </c>
      <c r="J2" s="20" t="s">
        <v>178</v>
      </c>
      <c r="K2" s="20" t="s">
        <v>179</v>
      </c>
    </row>
    <row r="3" spans="1:11" x14ac:dyDescent="0.15">
      <c r="A3" s="20" t="s">
        <v>195</v>
      </c>
      <c r="B3" s="20" t="s">
        <v>10</v>
      </c>
      <c r="C3" s="20" t="s">
        <v>169</v>
      </c>
      <c r="D3" s="20" t="s">
        <v>2</v>
      </c>
      <c r="E3" s="20" t="s">
        <v>196</v>
      </c>
      <c r="F3" s="20" t="s">
        <v>10</v>
      </c>
      <c r="G3" s="20" t="s">
        <v>169</v>
      </c>
      <c r="H3" s="20" t="s">
        <v>2</v>
      </c>
      <c r="I3" s="20" t="s">
        <v>197</v>
      </c>
      <c r="J3" s="20" t="s">
        <v>176</v>
      </c>
      <c r="K3" s="20" t="s">
        <v>177</v>
      </c>
    </row>
    <row r="4" spans="1:11" s="11" customFormat="1" x14ac:dyDescent="0.15">
      <c r="A4" s="20">
        <v>15</v>
      </c>
      <c r="B4" s="7" t="str">
        <f>VLOOKUP(A4,PipeN!$B$3:$D$48,2,FALSE)</f>
        <v>1/2"</v>
      </c>
      <c r="C4" s="7">
        <f>VLOOKUP(A4,PipeN!$B$3:$D$48,3,FALSE)</f>
        <v>21.3</v>
      </c>
      <c r="D4" s="7">
        <f>VLOOKUP(A4,PipeN!$B$72:$D$101,3,FALSE)</f>
        <v>18</v>
      </c>
      <c r="E4" s="20">
        <v>10</v>
      </c>
      <c r="F4" s="7" t="str">
        <f>VLOOKUP(E4,PipeN!$B$3:$D$48,2,FALSE)</f>
        <v>3/8"</v>
      </c>
      <c r="G4" s="7">
        <f>VLOOKUP(E4,PipeN!$B$3:$D$48,3,FALSE)</f>
        <v>17.2</v>
      </c>
      <c r="H4" s="7">
        <f>VLOOKUP(E4,PipeN!$B$72:$D$101,3,FALSE)</f>
        <v>14</v>
      </c>
      <c r="I4" s="20"/>
      <c r="J4" s="20">
        <v>25</v>
      </c>
      <c r="K4" s="20">
        <v>25</v>
      </c>
    </row>
    <row r="5" spans="1:11" s="11" customFormat="1" x14ac:dyDescent="0.15">
      <c r="A5" s="20">
        <v>15</v>
      </c>
      <c r="B5" s="7" t="str">
        <f>VLOOKUP(A5,PipeN!$B$3:$D$48,2,FALSE)</f>
        <v>1/2"</v>
      </c>
      <c r="C5" s="7">
        <f>VLOOKUP(A5,PipeN!$B$3:$D$48,3,FALSE)</f>
        <v>21.3</v>
      </c>
      <c r="D5" s="7"/>
      <c r="E5" s="20">
        <v>8</v>
      </c>
      <c r="F5" s="7" t="str">
        <f>VLOOKUP(E5,PipeN!$B$3:$D$48,2,FALSE)</f>
        <v>1/4"</v>
      </c>
      <c r="G5" s="7">
        <f>VLOOKUP(E5,PipeN!$B$3:$D$48,3,FALSE)</f>
        <v>13.5</v>
      </c>
      <c r="H5" s="7"/>
      <c r="I5" s="20"/>
      <c r="J5" s="20">
        <v>25</v>
      </c>
      <c r="K5" s="20">
        <v>25</v>
      </c>
    </row>
    <row r="6" spans="1:11" s="11" customFormat="1" x14ac:dyDescent="0.15">
      <c r="A6" s="20">
        <v>20</v>
      </c>
      <c r="B6" s="7" t="str">
        <f>VLOOKUP(A6,PipeN!$B$3:$D$48,2,FALSE)</f>
        <v>3/4"</v>
      </c>
      <c r="C6" s="7">
        <f>VLOOKUP(A6,PipeN!$B$3:$D$48,3,FALSE)</f>
        <v>26.9</v>
      </c>
      <c r="D6" s="7">
        <f>VLOOKUP(A6,PipeN!$B$72:$D$101,3,FALSE)</f>
        <v>25</v>
      </c>
      <c r="E6" s="20">
        <v>15</v>
      </c>
      <c r="F6" s="7" t="str">
        <f>VLOOKUP(E6,PipeN!$B$3:$D$48,2,FALSE)</f>
        <v>1/2"</v>
      </c>
      <c r="G6" s="7">
        <f>VLOOKUP(E6,PipeN!$B$3:$D$48,3,FALSE)</f>
        <v>21.3</v>
      </c>
      <c r="H6" s="7">
        <f>VLOOKUP(E6,PipeN!$B$72:$D$101,3,FALSE)</f>
        <v>18</v>
      </c>
      <c r="I6" s="20"/>
      <c r="J6" s="20">
        <v>29</v>
      </c>
      <c r="K6" s="20">
        <v>29</v>
      </c>
    </row>
    <row r="7" spans="1:11" s="11" customFormat="1" x14ac:dyDescent="0.15">
      <c r="A7" s="20">
        <v>20</v>
      </c>
      <c r="B7" s="7" t="str">
        <f>VLOOKUP(A7,PipeN!$B$3:$D$48,2,FALSE)</f>
        <v>3/4"</v>
      </c>
      <c r="C7" s="7">
        <f>VLOOKUP(A7,PipeN!$B$3:$D$48,3,FALSE)</f>
        <v>26.9</v>
      </c>
      <c r="D7" s="7">
        <f>VLOOKUP(A7,PipeN!$B$72:$D$101,3,FALSE)</f>
        <v>25</v>
      </c>
      <c r="E7" s="20">
        <v>10</v>
      </c>
      <c r="F7" s="7" t="str">
        <f>VLOOKUP(E7,PipeN!$B$3:$D$48,2,FALSE)</f>
        <v>3/8"</v>
      </c>
      <c r="G7" s="7">
        <f>VLOOKUP(E7,PipeN!$B$3:$D$48,3,FALSE)</f>
        <v>17.2</v>
      </c>
      <c r="H7" s="7">
        <f>VLOOKUP(E7,PipeN!$B$72:$D$101,3,FALSE)</f>
        <v>14</v>
      </c>
      <c r="I7" s="20"/>
      <c r="J7" s="20">
        <v>29</v>
      </c>
      <c r="K7" s="20">
        <v>29</v>
      </c>
    </row>
    <row r="8" spans="1:11" s="11" customFormat="1" x14ac:dyDescent="0.15">
      <c r="A8" s="20">
        <v>25</v>
      </c>
      <c r="B8" s="7" t="str">
        <f>VLOOKUP(A8,PipeN!$B$3:$D$48,2,FALSE)</f>
        <v>1"</v>
      </c>
      <c r="C8" s="7">
        <f>VLOOKUP(A8,PipeN!$B$3:$D$48,3,FALSE)</f>
        <v>33.700000000000003</v>
      </c>
      <c r="D8" s="7">
        <f>VLOOKUP(A8,PipeN!$B$72:$D$101,3,FALSE)</f>
        <v>32</v>
      </c>
      <c r="E8" s="20">
        <v>20</v>
      </c>
      <c r="F8" s="7" t="str">
        <f>VLOOKUP(E8,PipeN!$B$3:$D$48,2,FALSE)</f>
        <v>3/4"</v>
      </c>
      <c r="G8" s="7">
        <f>VLOOKUP(E8,PipeN!$B$3:$D$48,3,FALSE)</f>
        <v>26.9</v>
      </c>
      <c r="H8" s="7">
        <f>VLOOKUP(E8,PipeN!$B$72:$D$101,3,FALSE)</f>
        <v>25</v>
      </c>
      <c r="I8" s="20"/>
      <c r="J8" s="20">
        <v>38</v>
      </c>
      <c r="K8" s="20">
        <v>38</v>
      </c>
    </row>
    <row r="9" spans="1:11" s="11" customFormat="1" x14ac:dyDescent="0.15">
      <c r="A9" s="20">
        <v>25</v>
      </c>
      <c r="B9" s="7" t="str">
        <f>VLOOKUP(A9,PipeN!$B$3:$D$48,2,FALSE)</f>
        <v>1"</v>
      </c>
      <c r="C9" s="7">
        <f>VLOOKUP(A9,PipeN!$B$3:$D$48,3,FALSE)</f>
        <v>33.700000000000003</v>
      </c>
      <c r="D9" s="7">
        <f>VLOOKUP(A9,PipeN!$B$72:$D$101,3,FALSE)</f>
        <v>32</v>
      </c>
      <c r="E9" s="20">
        <v>15</v>
      </c>
      <c r="F9" s="7" t="str">
        <f>VLOOKUP(E9,PipeN!$B$3:$D$48,2,FALSE)</f>
        <v>1/2"</v>
      </c>
      <c r="G9" s="7">
        <f>VLOOKUP(E9,PipeN!$B$3:$D$48,3,FALSE)</f>
        <v>21.3</v>
      </c>
      <c r="H9" s="7">
        <f>VLOOKUP(E9,PipeN!$B$72:$D$101,3,FALSE)</f>
        <v>18</v>
      </c>
      <c r="I9" s="20"/>
      <c r="J9" s="20">
        <v>38</v>
      </c>
      <c r="K9" s="20">
        <v>38</v>
      </c>
    </row>
    <row r="10" spans="1:11" s="11" customFormat="1" x14ac:dyDescent="0.15">
      <c r="A10" s="20">
        <v>32</v>
      </c>
      <c r="B10" s="7" t="str">
        <f>VLOOKUP(A10,PipeN!$B$3:$D$48,2,FALSE)</f>
        <v>1 1/4"</v>
      </c>
      <c r="C10" s="7">
        <f>VLOOKUP(A10,PipeN!$B$3:$D$48,3,FALSE)</f>
        <v>42.4</v>
      </c>
      <c r="D10" s="7">
        <f>VLOOKUP(A10,PipeN!$B$72:$D$101,3,FALSE)</f>
        <v>38</v>
      </c>
      <c r="E10" s="20">
        <v>25</v>
      </c>
      <c r="F10" s="7" t="str">
        <f>VLOOKUP(E10,PipeN!$B$3:$D$48,2,FALSE)</f>
        <v>1"</v>
      </c>
      <c r="G10" s="7">
        <f>VLOOKUP(E10,PipeN!$B$3:$D$48,3,FALSE)</f>
        <v>33.700000000000003</v>
      </c>
      <c r="H10" s="7">
        <f>VLOOKUP(E10,PipeN!$B$72:$D$101,3,FALSE)</f>
        <v>32</v>
      </c>
      <c r="I10" s="20"/>
      <c r="J10" s="20">
        <v>48</v>
      </c>
      <c r="K10" s="20">
        <v>48</v>
      </c>
    </row>
    <row r="11" spans="1:11" s="11" customFormat="1" x14ac:dyDescent="0.15">
      <c r="A11" s="20">
        <v>32</v>
      </c>
      <c r="B11" s="7" t="str">
        <f>VLOOKUP(A11,PipeN!$B$3:$D$48,2,FALSE)</f>
        <v>1 1/4"</v>
      </c>
      <c r="C11" s="7">
        <f>VLOOKUP(A11,PipeN!$B$3:$D$48,3,FALSE)</f>
        <v>42.4</v>
      </c>
      <c r="D11" s="7">
        <f>VLOOKUP(A11,PipeN!$B$72:$D$101,3,FALSE)</f>
        <v>38</v>
      </c>
      <c r="E11" s="20">
        <v>20</v>
      </c>
      <c r="F11" s="7" t="str">
        <f>VLOOKUP(E11,PipeN!$B$3:$D$48,2,FALSE)</f>
        <v>3/4"</v>
      </c>
      <c r="G11" s="7">
        <f>VLOOKUP(E11,PipeN!$B$3:$D$48,3,FALSE)</f>
        <v>26.9</v>
      </c>
      <c r="H11" s="7">
        <f>VLOOKUP(E11,PipeN!$B$72:$D$101,3,FALSE)</f>
        <v>25</v>
      </c>
      <c r="I11" s="20"/>
      <c r="J11" s="20">
        <v>48</v>
      </c>
      <c r="K11" s="20">
        <v>48</v>
      </c>
    </row>
    <row r="12" spans="1:11" s="11" customFormat="1" x14ac:dyDescent="0.15">
      <c r="A12" s="20">
        <v>32</v>
      </c>
      <c r="B12" s="7" t="str">
        <f>VLOOKUP(A12,PipeN!$B$3:$D$48,2,FALSE)</f>
        <v>1 1/4"</v>
      </c>
      <c r="C12" s="7">
        <f>VLOOKUP(A12,PipeN!$B$3:$D$48,3,FALSE)</f>
        <v>42.4</v>
      </c>
      <c r="D12" s="7">
        <f>VLOOKUP(A12,PipeN!$B$72:$D$101,3,FALSE)</f>
        <v>38</v>
      </c>
      <c r="E12" s="20">
        <v>15</v>
      </c>
      <c r="F12" s="7" t="str">
        <f>VLOOKUP(E12,PipeN!$B$3:$D$48,2,FALSE)</f>
        <v>1/2"</v>
      </c>
      <c r="G12" s="7">
        <f>VLOOKUP(E12,PipeN!$B$3:$D$48,3,FALSE)</f>
        <v>21.3</v>
      </c>
      <c r="H12" s="7">
        <f>VLOOKUP(E12,PipeN!$B$72:$D$101,3,FALSE)</f>
        <v>18</v>
      </c>
      <c r="I12" s="20"/>
      <c r="J12" s="20">
        <v>48</v>
      </c>
      <c r="K12" s="20">
        <v>48</v>
      </c>
    </row>
    <row r="13" spans="1:11" s="11" customFormat="1" x14ac:dyDescent="0.15">
      <c r="A13" s="20">
        <v>40</v>
      </c>
      <c r="B13" s="7" t="str">
        <f>VLOOKUP(A13,PipeN!$B$3:$D$48,2,FALSE)</f>
        <v>1 1/2"</v>
      </c>
      <c r="C13" s="7">
        <f>VLOOKUP(A13,PipeN!$B$3:$D$48,3,FALSE)</f>
        <v>48.3</v>
      </c>
      <c r="D13" s="7">
        <f>VLOOKUP(A13,PipeN!$B$72:$D$101,3,FALSE)</f>
        <v>45</v>
      </c>
      <c r="E13" s="20">
        <v>32</v>
      </c>
      <c r="F13" s="7" t="str">
        <f>VLOOKUP(E13,PipeN!$B$3:$D$48,2,FALSE)</f>
        <v>1 1/4"</v>
      </c>
      <c r="G13" s="7">
        <f>VLOOKUP(E13,PipeN!$B$3:$D$48,3,FALSE)</f>
        <v>42.4</v>
      </c>
      <c r="H13" s="7">
        <f>VLOOKUP(E13,PipeN!$B$72:$D$101,3,FALSE)</f>
        <v>38</v>
      </c>
      <c r="I13" s="20"/>
      <c r="J13" s="20">
        <v>57</v>
      </c>
      <c r="K13" s="20">
        <v>57</v>
      </c>
    </row>
    <row r="14" spans="1:11" s="11" customFormat="1" x14ac:dyDescent="0.15">
      <c r="A14" s="20">
        <v>40</v>
      </c>
      <c r="B14" s="7" t="str">
        <f>VLOOKUP(A14,PipeN!$B$3:$D$48,2,FALSE)</f>
        <v>1 1/2"</v>
      </c>
      <c r="C14" s="7">
        <f>VLOOKUP(A14,PipeN!$B$3:$D$48,3,FALSE)</f>
        <v>48.3</v>
      </c>
      <c r="D14" s="7">
        <f>VLOOKUP(A14,PipeN!$B$72:$D$101,3,FALSE)</f>
        <v>45</v>
      </c>
      <c r="E14" s="20">
        <v>25</v>
      </c>
      <c r="F14" s="7" t="str">
        <f>VLOOKUP(E14,PipeN!$B$3:$D$48,2,FALSE)</f>
        <v>1"</v>
      </c>
      <c r="G14" s="7">
        <f>VLOOKUP(E14,PipeN!$B$3:$D$48,3,FALSE)</f>
        <v>33.700000000000003</v>
      </c>
      <c r="H14" s="7">
        <f>VLOOKUP(E14,PipeN!$B$72:$D$101,3,FALSE)</f>
        <v>32</v>
      </c>
      <c r="I14" s="20"/>
      <c r="J14" s="20">
        <v>57</v>
      </c>
      <c r="K14" s="20">
        <v>57</v>
      </c>
    </row>
    <row r="15" spans="1:11" s="11" customFormat="1" x14ac:dyDescent="0.15">
      <c r="A15" s="20">
        <v>40</v>
      </c>
      <c r="B15" s="7" t="str">
        <f>VLOOKUP(A15,PipeN!$B$3:$D$48,2,FALSE)</f>
        <v>1 1/2"</v>
      </c>
      <c r="C15" s="7">
        <f>VLOOKUP(A15,PipeN!$B$3:$D$48,3,FALSE)</f>
        <v>48.3</v>
      </c>
      <c r="D15" s="7">
        <f>VLOOKUP(A15,PipeN!$B$72:$D$101,3,FALSE)</f>
        <v>45</v>
      </c>
      <c r="E15" s="20">
        <v>20</v>
      </c>
      <c r="F15" s="7" t="str">
        <f>VLOOKUP(E15,PipeN!$B$3:$D$48,2,FALSE)</f>
        <v>3/4"</v>
      </c>
      <c r="G15" s="7">
        <f>VLOOKUP(E15,PipeN!$B$3:$D$48,3,FALSE)</f>
        <v>26.9</v>
      </c>
      <c r="H15" s="7">
        <f>VLOOKUP(E15,PipeN!$B$72:$D$101,3,FALSE)</f>
        <v>25</v>
      </c>
      <c r="I15" s="20"/>
      <c r="J15" s="20">
        <v>57</v>
      </c>
      <c r="K15" s="20">
        <v>57</v>
      </c>
    </row>
    <row r="16" spans="1:11" s="11" customFormat="1" x14ac:dyDescent="0.15">
      <c r="A16" s="20">
        <v>40</v>
      </c>
      <c r="B16" s="7" t="str">
        <f>VLOOKUP(A16,PipeN!$B$3:$D$48,2,FALSE)</f>
        <v>1 1/2"</v>
      </c>
      <c r="C16" s="7">
        <f>VLOOKUP(A16,PipeN!$B$3:$D$48,3,FALSE)</f>
        <v>48.3</v>
      </c>
      <c r="D16" s="7">
        <f>VLOOKUP(A16,PipeN!$B$72:$D$101,3,FALSE)</f>
        <v>45</v>
      </c>
      <c r="E16" s="20">
        <v>15</v>
      </c>
      <c r="F16" s="7" t="str">
        <f>VLOOKUP(E16,PipeN!$B$3:$D$48,2,FALSE)</f>
        <v>1/2"</v>
      </c>
      <c r="G16" s="7">
        <f>VLOOKUP(E16,PipeN!$B$3:$D$48,3,FALSE)</f>
        <v>21.3</v>
      </c>
      <c r="H16" s="7">
        <f>VLOOKUP(E16,PipeN!$B$72:$D$101,3,FALSE)</f>
        <v>18</v>
      </c>
      <c r="I16" s="20"/>
      <c r="J16" s="20">
        <v>57</v>
      </c>
      <c r="K16" s="20">
        <v>57</v>
      </c>
    </row>
    <row r="17" spans="1:11" s="11" customFormat="1" x14ac:dyDescent="0.15">
      <c r="A17" s="20">
        <v>50</v>
      </c>
      <c r="B17" s="7" t="str">
        <f>VLOOKUP(A17,PipeN!$B$3:$D$48,2,FALSE)</f>
        <v>2"</v>
      </c>
      <c r="C17" s="7">
        <f>VLOOKUP(A17,PipeN!$B$3:$D$48,3,FALSE)</f>
        <v>60.3</v>
      </c>
      <c r="D17" s="7">
        <f>VLOOKUP(A17,PipeN!$B$72:$D$101,3,FALSE)</f>
        <v>57</v>
      </c>
      <c r="E17" s="20">
        <v>40</v>
      </c>
      <c r="F17" s="7" t="str">
        <f>VLOOKUP(E17,PipeN!$B$3:$D$48,2,FALSE)</f>
        <v>1 1/2"</v>
      </c>
      <c r="G17" s="7">
        <f>VLOOKUP(E17,PipeN!$B$3:$D$48,3,FALSE)</f>
        <v>48.3</v>
      </c>
      <c r="H17" s="7">
        <f>VLOOKUP(E17,PipeN!$B$72:$D$101,3,FALSE)</f>
        <v>45</v>
      </c>
      <c r="I17" s="20">
        <v>76</v>
      </c>
      <c r="J17" s="20">
        <v>64</v>
      </c>
      <c r="K17" s="20">
        <v>60</v>
      </c>
    </row>
    <row r="18" spans="1:11" s="11" customFormat="1" x14ac:dyDescent="0.15">
      <c r="A18" s="20">
        <v>50</v>
      </c>
      <c r="B18" s="7" t="str">
        <f>VLOOKUP(A18,PipeN!$B$3:$D$48,2,FALSE)</f>
        <v>2"</v>
      </c>
      <c r="C18" s="7">
        <f>VLOOKUP(A18,PipeN!$B$3:$D$48,3,FALSE)</f>
        <v>60.3</v>
      </c>
      <c r="D18" s="7">
        <f>VLOOKUP(A18,PipeN!$B$72:$D$101,3,FALSE)</f>
        <v>57</v>
      </c>
      <c r="E18" s="20">
        <v>32</v>
      </c>
      <c r="F18" s="7" t="str">
        <f>VLOOKUP(E18,PipeN!$B$3:$D$48,2,FALSE)</f>
        <v>1 1/4"</v>
      </c>
      <c r="G18" s="7">
        <f>VLOOKUP(E18,PipeN!$B$3:$D$48,3,FALSE)</f>
        <v>42.4</v>
      </c>
      <c r="H18" s="7">
        <f>VLOOKUP(E18,PipeN!$B$72:$D$101,3,FALSE)</f>
        <v>38</v>
      </c>
      <c r="I18" s="20">
        <v>76</v>
      </c>
      <c r="J18" s="20">
        <v>64</v>
      </c>
      <c r="K18" s="20">
        <v>57</v>
      </c>
    </row>
    <row r="19" spans="1:11" s="11" customFormat="1" x14ac:dyDescent="0.15">
      <c r="A19" s="20">
        <v>50</v>
      </c>
      <c r="B19" s="7" t="str">
        <f>VLOOKUP(A19,PipeN!$B$3:$D$48,2,FALSE)</f>
        <v>2"</v>
      </c>
      <c r="C19" s="7">
        <f>VLOOKUP(A19,PipeN!$B$3:$D$48,3,FALSE)</f>
        <v>60.3</v>
      </c>
      <c r="D19" s="7">
        <f>VLOOKUP(A19,PipeN!$B$72:$D$101,3,FALSE)</f>
        <v>57</v>
      </c>
      <c r="E19" s="20">
        <v>25</v>
      </c>
      <c r="F19" s="7" t="str">
        <f>VLOOKUP(E19,PipeN!$B$3:$D$48,2,FALSE)</f>
        <v>1"</v>
      </c>
      <c r="G19" s="7">
        <f>VLOOKUP(E19,PipeN!$B$3:$D$48,3,FALSE)</f>
        <v>33.700000000000003</v>
      </c>
      <c r="H19" s="7">
        <f>VLOOKUP(E19,PipeN!$B$72:$D$101,3,FALSE)</f>
        <v>32</v>
      </c>
      <c r="I19" s="20">
        <v>76</v>
      </c>
      <c r="J19" s="20">
        <v>64</v>
      </c>
      <c r="K19" s="20">
        <v>51</v>
      </c>
    </row>
    <row r="20" spans="1:11" s="11" customFormat="1" x14ac:dyDescent="0.15">
      <c r="A20" s="20">
        <v>50</v>
      </c>
      <c r="B20" s="7" t="str">
        <f>VLOOKUP(A20,PipeN!$B$3:$D$48,2,FALSE)</f>
        <v>2"</v>
      </c>
      <c r="C20" s="7">
        <f>VLOOKUP(A20,PipeN!$B$3:$D$48,3,FALSE)</f>
        <v>60.3</v>
      </c>
      <c r="D20" s="7">
        <f>VLOOKUP(A20,PipeN!$B$72:$D$101,3,FALSE)</f>
        <v>57</v>
      </c>
      <c r="E20" s="20">
        <v>20</v>
      </c>
      <c r="F20" s="7" t="str">
        <f>VLOOKUP(E20,PipeN!$B$3:$D$48,2,FALSE)</f>
        <v>3/4"</v>
      </c>
      <c r="G20" s="7">
        <f>VLOOKUP(E20,PipeN!$B$3:$D$48,3,FALSE)</f>
        <v>26.9</v>
      </c>
      <c r="H20" s="7">
        <f>VLOOKUP(E20,PipeN!$B$72:$D$101,3,FALSE)</f>
        <v>25</v>
      </c>
      <c r="I20" s="20"/>
      <c r="J20" s="20">
        <v>64</v>
      </c>
      <c r="K20" s="20">
        <v>44</v>
      </c>
    </row>
    <row r="21" spans="1:11" x14ac:dyDescent="0.15">
      <c r="A21" s="20">
        <v>65</v>
      </c>
      <c r="B21" s="7" t="str">
        <f>VLOOKUP(A21,PipeN!$B$3:$D$48,2,FALSE)</f>
        <v>2 1/2"</v>
      </c>
      <c r="C21" s="7">
        <f>VLOOKUP(A21,PipeN!$B$3:$D$48,3,FALSE)</f>
        <v>76.099999999999994</v>
      </c>
      <c r="D21" s="7">
        <f>VLOOKUP(A21,PipeN!$B$72:$D$101,3,FALSE)</f>
        <v>76</v>
      </c>
      <c r="E21" s="20">
        <v>50</v>
      </c>
      <c r="F21" s="7" t="str">
        <f>VLOOKUP(E21,PipeN!$B$3:$D$48,2,FALSE)</f>
        <v>2"</v>
      </c>
      <c r="G21" s="7">
        <f>VLOOKUP(E21,PipeN!$B$3:$D$48,3,FALSE)</f>
        <v>60.3</v>
      </c>
      <c r="H21" s="7">
        <f>VLOOKUP(E21,PipeN!$B$72:$D$101,3,FALSE)</f>
        <v>57</v>
      </c>
      <c r="I21" s="20">
        <v>95</v>
      </c>
      <c r="J21" s="20">
        <v>76</v>
      </c>
      <c r="K21" s="20">
        <v>70</v>
      </c>
    </row>
    <row r="22" spans="1:11" x14ac:dyDescent="0.15">
      <c r="A22" s="20">
        <v>65</v>
      </c>
      <c r="B22" s="7" t="str">
        <f>VLOOKUP(A22,PipeN!$B$3:$D$48,2,FALSE)</f>
        <v>2 1/2"</v>
      </c>
      <c r="C22" s="7">
        <f>VLOOKUP(A22,PipeN!$B$3:$D$48,3,FALSE)</f>
        <v>76.099999999999994</v>
      </c>
      <c r="D22" s="7">
        <f>VLOOKUP(A22,PipeN!$B$72:$D$101,3,FALSE)</f>
        <v>76</v>
      </c>
      <c r="E22" s="20">
        <v>40</v>
      </c>
      <c r="F22" s="7" t="str">
        <f>VLOOKUP(E22,PipeN!$B$3:$D$48,2,FALSE)</f>
        <v>1 1/2"</v>
      </c>
      <c r="G22" s="7">
        <f>VLOOKUP(E22,PipeN!$B$3:$D$48,3,FALSE)</f>
        <v>48.3</v>
      </c>
      <c r="H22" s="7">
        <f>VLOOKUP(E22,PipeN!$B$72:$D$101,3,FALSE)</f>
        <v>45</v>
      </c>
      <c r="I22" s="20">
        <v>95</v>
      </c>
      <c r="J22" s="20">
        <v>76</v>
      </c>
      <c r="K22" s="20">
        <v>67</v>
      </c>
    </row>
    <row r="23" spans="1:11" x14ac:dyDescent="0.15">
      <c r="A23" s="20">
        <v>65</v>
      </c>
      <c r="B23" s="7" t="str">
        <f>VLOOKUP(A23,PipeN!$B$3:$D$48,2,FALSE)</f>
        <v>2 1/2"</v>
      </c>
      <c r="C23" s="7">
        <f>VLOOKUP(A23,PipeN!$B$3:$D$48,3,FALSE)</f>
        <v>76.099999999999994</v>
      </c>
      <c r="D23" s="7">
        <f>VLOOKUP(A23,PipeN!$B$72:$D$101,3,FALSE)</f>
        <v>76</v>
      </c>
      <c r="E23" s="20">
        <v>32</v>
      </c>
      <c r="F23" s="7" t="str">
        <f>VLOOKUP(E23,PipeN!$B$3:$D$48,2,FALSE)</f>
        <v>1 1/4"</v>
      </c>
      <c r="G23" s="7">
        <f>VLOOKUP(E23,PipeN!$B$3:$D$48,3,FALSE)</f>
        <v>42.4</v>
      </c>
      <c r="H23" s="7">
        <f>VLOOKUP(E23,PipeN!$B$72:$D$101,3,FALSE)</f>
        <v>38</v>
      </c>
      <c r="I23" s="20">
        <v>95</v>
      </c>
      <c r="J23" s="20">
        <v>76</v>
      </c>
      <c r="K23" s="20">
        <v>64</v>
      </c>
    </row>
    <row r="24" spans="1:11" s="11" customFormat="1" x14ac:dyDescent="0.15">
      <c r="A24" s="20">
        <v>65</v>
      </c>
      <c r="B24" s="7" t="str">
        <f>VLOOKUP(A24,PipeN!$B$3:$D$48,2,FALSE)</f>
        <v>2 1/2"</v>
      </c>
      <c r="C24" s="7">
        <f>VLOOKUP(A24,PipeN!$B$3:$D$48,3,FALSE)</f>
        <v>76.099999999999994</v>
      </c>
      <c r="D24" s="7">
        <f>VLOOKUP(A24,PipeN!$B$72:$D$101,3,FALSE)</f>
        <v>76</v>
      </c>
      <c r="E24" s="20">
        <v>25</v>
      </c>
      <c r="F24" s="7" t="str">
        <f>VLOOKUP(E24,PipeN!$B$3:$D$48,2,FALSE)</f>
        <v>1"</v>
      </c>
      <c r="G24" s="7">
        <f>VLOOKUP(E24,PipeN!$B$3:$D$48,3,FALSE)</f>
        <v>33.700000000000003</v>
      </c>
      <c r="H24" s="7">
        <f>VLOOKUP(E24,PipeN!$B$72:$D$101,3,FALSE)</f>
        <v>32</v>
      </c>
      <c r="I24" s="20"/>
      <c r="J24" s="20">
        <v>76</v>
      </c>
      <c r="K24" s="20">
        <v>57</v>
      </c>
    </row>
    <row r="25" spans="1:11" s="11" customFormat="1" x14ac:dyDescent="0.15">
      <c r="A25" s="20">
        <v>80</v>
      </c>
      <c r="B25" s="7" t="str">
        <f>VLOOKUP(A25,PipeN!$B$3:$D$48,2,FALSE)</f>
        <v>3"</v>
      </c>
      <c r="C25" s="7">
        <f>VLOOKUP(A25,PipeN!$B$3:$D$48,3,FALSE)</f>
        <v>88.9</v>
      </c>
      <c r="D25" s="7">
        <f>VLOOKUP(A25,PipeN!$B$72:$D$101,3,FALSE)</f>
        <v>89</v>
      </c>
      <c r="E25" s="20">
        <v>65</v>
      </c>
      <c r="F25" s="7" t="str">
        <f>VLOOKUP(E25,PipeN!$B$3:$D$48,2,FALSE)</f>
        <v>2 1/2"</v>
      </c>
      <c r="G25" s="7">
        <f>VLOOKUP(E25,PipeN!$B$3:$D$48,3,FALSE)</f>
        <v>76.099999999999994</v>
      </c>
      <c r="H25" s="7">
        <f>VLOOKUP(E25,PipeN!$B$72:$D$101,3,FALSE)</f>
        <v>76</v>
      </c>
      <c r="I25" s="20">
        <v>114</v>
      </c>
      <c r="J25" s="20">
        <v>86</v>
      </c>
      <c r="K25" s="20">
        <v>83</v>
      </c>
    </row>
    <row r="26" spans="1:11" s="11" customFormat="1" x14ac:dyDescent="0.15">
      <c r="A26" s="20">
        <v>80</v>
      </c>
      <c r="B26" s="7" t="str">
        <f>VLOOKUP(A26,PipeN!$B$3:$D$48,2,FALSE)</f>
        <v>3"</v>
      </c>
      <c r="C26" s="7">
        <f>VLOOKUP(A26,PipeN!$B$3:$D$48,3,FALSE)</f>
        <v>88.9</v>
      </c>
      <c r="D26" s="7">
        <f>VLOOKUP(A26,PipeN!$B$72:$D$101,3,FALSE)</f>
        <v>89</v>
      </c>
      <c r="E26" s="20">
        <v>50</v>
      </c>
      <c r="F26" s="7" t="str">
        <f>VLOOKUP(E26,PipeN!$B$3:$D$48,2,FALSE)</f>
        <v>2"</v>
      </c>
      <c r="G26" s="7">
        <f>VLOOKUP(E26,PipeN!$B$3:$D$48,3,FALSE)</f>
        <v>60.3</v>
      </c>
      <c r="H26" s="7">
        <f>VLOOKUP(E26,PipeN!$B$72:$D$101,3,FALSE)</f>
        <v>57</v>
      </c>
      <c r="I26" s="20">
        <v>114</v>
      </c>
      <c r="J26" s="20">
        <v>86</v>
      </c>
      <c r="K26" s="20">
        <v>76</v>
      </c>
    </row>
    <row r="27" spans="1:11" s="11" customFormat="1" x14ac:dyDescent="0.15">
      <c r="A27" s="20">
        <v>80</v>
      </c>
      <c r="B27" s="7" t="str">
        <f>VLOOKUP(A27,PipeN!$B$3:$D$48,2,FALSE)</f>
        <v>3"</v>
      </c>
      <c r="C27" s="7">
        <f>VLOOKUP(A27,PipeN!$B$3:$D$48,3,FALSE)</f>
        <v>88.9</v>
      </c>
      <c r="D27" s="7">
        <f>VLOOKUP(A27,PipeN!$B$72:$D$101,3,FALSE)</f>
        <v>89</v>
      </c>
      <c r="E27" s="20">
        <v>40</v>
      </c>
      <c r="F27" s="7" t="str">
        <f>VLOOKUP(E27,PipeN!$B$3:$D$48,2,FALSE)</f>
        <v>1 1/2"</v>
      </c>
      <c r="G27" s="7">
        <f>VLOOKUP(E27,PipeN!$B$3:$D$48,3,FALSE)</f>
        <v>48.3</v>
      </c>
      <c r="H27" s="7">
        <f>VLOOKUP(E27,PipeN!$B$72:$D$101,3,FALSE)</f>
        <v>45</v>
      </c>
      <c r="I27" s="20">
        <v>114</v>
      </c>
      <c r="J27" s="20">
        <v>86</v>
      </c>
      <c r="K27" s="20">
        <v>73</v>
      </c>
    </row>
    <row r="28" spans="1:11" s="11" customFormat="1" x14ac:dyDescent="0.15">
      <c r="A28" s="20">
        <v>80</v>
      </c>
      <c r="B28" s="7" t="str">
        <f>VLOOKUP(A28,PipeN!$B$3:$D$48,2,FALSE)</f>
        <v>3"</v>
      </c>
      <c r="C28" s="7">
        <f>VLOOKUP(A28,PipeN!$B$3:$D$48,3,FALSE)</f>
        <v>88.9</v>
      </c>
      <c r="D28" s="7">
        <f>VLOOKUP(A28,PipeN!$B$72:$D$101,3,FALSE)</f>
        <v>89</v>
      </c>
      <c r="E28" s="20">
        <v>32</v>
      </c>
      <c r="F28" s="7" t="str">
        <f>VLOOKUP(E28,PipeN!$B$3:$D$48,2,FALSE)</f>
        <v>1 1/4"</v>
      </c>
      <c r="G28" s="7">
        <f>VLOOKUP(E28,PipeN!$B$3:$D$48,3,FALSE)</f>
        <v>42.4</v>
      </c>
      <c r="H28" s="7">
        <f>VLOOKUP(E28,PipeN!$B$72:$D$101,3,FALSE)</f>
        <v>38</v>
      </c>
      <c r="I28" s="20"/>
      <c r="J28" s="20">
        <v>86</v>
      </c>
      <c r="K28" s="20">
        <v>70</v>
      </c>
    </row>
    <row r="29" spans="1:11" s="11" customFormat="1" x14ac:dyDescent="0.15">
      <c r="A29" s="20">
        <v>100</v>
      </c>
      <c r="B29" s="7" t="str">
        <f>VLOOKUP(A29,PipeN!$B$3:$D$48,2,FALSE)</f>
        <v>4"</v>
      </c>
      <c r="C29" s="7">
        <f>VLOOKUP(A29,PipeN!$B$3:$D$48,3,FALSE)</f>
        <v>114.3</v>
      </c>
      <c r="D29" s="7">
        <f>VLOOKUP(A29,PipeN!$B$72:$D$101,3,FALSE)</f>
        <v>108</v>
      </c>
      <c r="E29" s="20">
        <v>80</v>
      </c>
      <c r="F29" s="7" t="str">
        <f>VLOOKUP(E29,PipeN!$B$3:$D$48,2,FALSE)</f>
        <v>3"</v>
      </c>
      <c r="G29" s="7">
        <f>VLOOKUP(E29,PipeN!$B$3:$D$48,3,FALSE)</f>
        <v>88.9</v>
      </c>
      <c r="H29" s="7">
        <f>VLOOKUP(E29,PipeN!$B$72:$D$101,3,FALSE)</f>
        <v>89</v>
      </c>
      <c r="I29" s="20">
        <v>152</v>
      </c>
      <c r="J29" s="20">
        <v>105</v>
      </c>
      <c r="K29" s="20">
        <v>98</v>
      </c>
    </row>
    <row r="30" spans="1:11" x14ac:dyDescent="0.15">
      <c r="A30" s="20">
        <v>100</v>
      </c>
      <c r="B30" s="7" t="str">
        <f>VLOOKUP(A30,PipeN!$B$3:$D$48,2,FALSE)</f>
        <v>4"</v>
      </c>
      <c r="C30" s="7">
        <f>VLOOKUP(A30,PipeN!$B$3:$D$48,3,FALSE)</f>
        <v>114.3</v>
      </c>
      <c r="D30" s="7">
        <f>VLOOKUP(A30,PipeN!$B$72:$D$101,3,FALSE)</f>
        <v>108</v>
      </c>
      <c r="E30" s="20">
        <v>65</v>
      </c>
      <c r="F30" s="7" t="str">
        <f>VLOOKUP(E30,PipeN!$B$3:$D$48,2,FALSE)</f>
        <v>2 1/2"</v>
      </c>
      <c r="G30" s="7">
        <f>VLOOKUP(E30,PipeN!$B$3:$D$48,3,FALSE)</f>
        <v>76.099999999999994</v>
      </c>
      <c r="H30" s="7">
        <f>VLOOKUP(E30,PipeN!$B$72:$D$101,3,FALSE)</f>
        <v>76</v>
      </c>
      <c r="I30" s="20">
        <v>152</v>
      </c>
      <c r="J30" s="20">
        <v>105</v>
      </c>
      <c r="K30" s="20">
        <v>95</v>
      </c>
    </row>
    <row r="31" spans="1:11" x14ac:dyDescent="0.15">
      <c r="A31" s="20">
        <v>100</v>
      </c>
      <c r="B31" s="7" t="str">
        <f>VLOOKUP(A31,PipeN!$B$3:$D$48,2,FALSE)</f>
        <v>4"</v>
      </c>
      <c r="C31" s="7">
        <f>VLOOKUP(A31,PipeN!$B$3:$D$48,3,FALSE)</f>
        <v>114.3</v>
      </c>
      <c r="D31" s="7">
        <f>VLOOKUP(A31,PipeN!$B$72:$D$101,3,FALSE)</f>
        <v>108</v>
      </c>
      <c r="E31" s="20">
        <v>50</v>
      </c>
      <c r="F31" s="7" t="str">
        <f>VLOOKUP(E31,PipeN!$B$3:$D$48,2,FALSE)</f>
        <v>2"</v>
      </c>
      <c r="G31" s="7">
        <f>VLOOKUP(E31,PipeN!$B$3:$D$48,3,FALSE)</f>
        <v>60.3</v>
      </c>
      <c r="H31" s="7">
        <f>VLOOKUP(E31,PipeN!$B$72:$D$101,3,FALSE)</f>
        <v>57</v>
      </c>
      <c r="I31" s="20">
        <v>152</v>
      </c>
      <c r="J31" s="20">
        <v>105</v>
      </c>
      <c r="K31" s="20">
        <v>89</v>
      </c>
    </row>
    <row r="32" spans="1:11" s="11" customFormat="1" x14ac:dyDescent="0.15">
      <c r="A32" s="20">
        <v>100</v>
      </c>
      <c r="B32" s="7" t="str">
        <f>VLOOKUP(A32,PipeN!$B$3:$D$48,2,FALSE)</f>
        <v>4"</v>
      </c>
      <c r="C32" s="7">
        <f>VLOOKUP(A32,PipeN!$B$3:$D$48,3,FALSE)</f>
        <v>114.3</v>
      </c>
      <c r="D32" s="7">
        <f>VLOOKUP(A32,PipeN!$B$72:$D$101,3,FALSE)</f>
        <v>108</v>
      </c>
      <c r="E32" s="20">
        <v>40</v>
      </c>
      <c r="F32" s="7" t="str">
        <f>VLOOKUP(E32,PipeN!$B$3:$D$48,2,FALSE)</f>
        <v>1 1/2"</v>
      </c>
      <c r="G32" s="7">
        <f>VLOOKUP(E32,PipeN!$B$3:$D$48,3,FALSE)</f>
        <v>48.3</v>
      </c>
      <c r="H32" s="7">
        <f>VLOOKUP(E32,PipeN!$B$72:$D$101,3,FALSE)</f>
        <v>45</v>
      </c>
      <c r="I32" s="20"/>
      <c r="J32" s="20">
        <v>105</v>
      </c>
      <c r="K32" s="20">
        <v>86</v>
      </c>
    </row>
    <row r="33" spans="1:11" s="11" customFormat="1" x14ac:dyDescent="0.15">
      <c r="A33" s="20">
        <v>125</v>
      </c>
      <c r="B33" s="7" t="str">
        <f>VLOOKUP(A33,PipeN!$B$3:$D$48,2,FALSE)</f>
        <v>5"</v>
      </c>
      <c r="C33" s="7">
        <f>VLOOKUP(A33,PipeN!$B$3:$D$48,3,FALSE)</f>
        <v>139.69999999999999</v>
      </c>
      <c r="D33" s="7">
        <f>VLOOKUP(A33,PipeN!$B$72:$D$101,3,FALSE)</f>
        <v>133</v>
      </c>
      <c r="E33" s="20">
        <v>100</v>
      </c>
      <c r="F33" s="7" t="str">
        <f>VLOOKUP(E33,PipeN!$B$3:$D$48,2,FALSE)</f>
        <v>4"</v>
      </c>
      <c r="G33" s="7">
        <f>VLOOKUP(E33,PipeN!$B$3:$D$48,3,FALSE)</f>
        <v>114.3</v>
      </c>
      <c r="H33" s="7">
        <f>VLOOKUP(E33,PipeN!$B$72:$D$101,3,FALSE)</f>
        <v>108</v>
      </c>
      <c r="I33" s="20">
        <v>190</v>
      </c>
      <c r="J33" s="20">
        <v>124</v>
      </c>
      <c r="K33" s="20">
        <v>117</v>
      </c>
    </row>
    <row r="34" spans="1:11" s="11" customFormat="1" x14ac:dyDescent="0.15">
      <c r="A34" s="20">
        <v>125</v>
      </c>
      <c r="B34" s="7" t="str">
        <f>VLOOKUP(A34,PipeN!$B$3:$D$48,2,FALSE)</f>
        <v>5"</v>
      </c>
      <c r="C34" s="7">
        <f>VLOOKUP(A34,PipeN!$B$3:$D$48,3,FALSE)</f>
        <v>139.69999999999999</v>
      </c>
      <c r="D34" s="7">
        <f>VLOOKUP(A34,PipeN!$B$72:$D$101,3,FALSE)</f>
        <v>133</v>
      </c>
      <c r="E34" s="20">
        <v>80</v>
      </c>
      <c r="F34" s="7" t="str">
        <f>VLOOKUP(E34,PipeN!$B$3:$D$48,2,FALSE)</f>
        <v>3"</v>
      </c>
      <c r="G34" s="7">
        <f>VLOOKUP(E34,PipeN!$B$3:$D$48,3,FALSE)</f>
        <v>88.9</v>
      </c>
      <c r="H34" s="7">
        <f>VLOOKUP(E34,PipeN!$B$72:$D$101,3,FALSE)</f>
        <v>89</v>
      </c>
      <c r="I34" s="20">
        <v>190</v>
      </c>
      <c r="J34" s="20">
        <v>124</v>
      </c>
      <c r="K34" s="20">
        <v>111</v>
      </c>
    </row>
    <row r="35" spans="1:11" s="11" customFormat="1" x14ac:dyDescent="0.15">
      <c r="A35" s="20">
        <v>125</v>
      </c>
      <c r="B35" s="7" t="str">
        <f>VLOOKUP(A35,PipeN!$B$3:$D$48,2,FALSE)</f>
        <v>5"</v>
      </c>
      <c r="C35" s="7">
        <f>VLOOKUP(A35,PipeN!$B$3:$D$48,3,FALSE)</f>
        <v>139.69999999999999</v>
      </c>
      <c r="D35" s="7">
        <f>VLOOKUP(A35,PipeN!$B$72:$D$101,3,FALSE)</f>
        <v>133</v>
      </c>
      <c r="E35" s="20">
        <v>65</v>
      </c>
      <c r="F35" s="7" t="str">
        <f>VLOOKUP(E35,PipeN!$B$3:$D$48,2,FALSE)</f>
        <v>2 1/2"</v>
      </c>
      <c r="G35" s="7">
        <f>VLOOKUP(E35,PipeN!$B$3:$D$48,3,FALSE)</f>
        <v>76.099999999999994</v>
      </c>
      <c r="H35" s="7">
        <f>VLOOKUP(E35,PipeN!$B$72:$D$101,3,FALSE)</f>
        <v>76</v>
      </c>
      <c r="I35" s="20">
        <v>190</v>
      </c>
      <c r="J35" s="20">
        <v>124</v>
      </c>
      <c r="K35" s="20">
        <v>108</v>
      </c>
    </row>
    <row r="36" spans="1:11" s="11" customFormat="1" x14ac:dyDescent="0.15">
      <c r="A36" s="20">
        <v>125</v>
      </c>
      <c r="B36" s="7" t="str">
        <f>VLOOKUP(A36,PipeN!$B$3:$D$48,2,FALSE)</f>
        <v>5"</v>
      </c>
      <c r="C36" s="7">
        <f>VLOOKUP(A36,PipeN!$B$3:$D$48,3,FALSE)</f>
        <v>139.69999999999999</v>
      </c>
      <c r="D36" s="7">
        <f>VLOOKUP(A36,PipeN!$B$72:$D$101,3,FALSE)</f>
        <v>133</v>
      </c>
      <c r="E36" s="20">
        <v>50</v>
      </c>
      <c r="F36" s="7" t="str">
        <f>VLOOKUP(E36,PipeN!$B$3:$D$48,2,FALSE)</f>
        <v>2"</v>
      </c>
      <c r="G36" s="7">
        <f>VLOOKUP(E36,PipeN!$B$3:$D$48,3,FALSE)</f>
        <v>60.3</v>
      </c>
      <c r="H36" s="7">
        <f>VLOOKUP(E36,PipeN!$B$72:$D$101,3,FALSE)</f>
        <v>57</v>
      </c>
      <c r="I36" s="20"/>
      <c r="J36" s="20">
        <v>124</v>
      </c>
      <c r="K36" s="23">
        <v>105</v>
      </c>
    </row>
    <row r="37" spans="1:11" s="11" customFormat="1" x14ac:dyDescent="0.15">
      <c r="A37" s="20">
        <v>150</v>
      </c>
      <c r="B37" s="7" t="str">
        <f>VLOOKUP(A37,PipeN!$B$3:$D$48,2,FALSE)</f>
        <v>6"</v>
      </c>
      <c r="C37" s="7">
        <f>VLOOKUP(A37,PipeN!$B$3:$D$48,3,FALSE)</f>
        <v>168.3</v>
      </c>
      <c r="D37" s="7">
        <f>VLOOKUP(A37,PipeN!$B$72:$D$101,3,FALSE)</f>
        <v>159</v>
      </c>
      <c r="E37" s="20">
        <v>125</v>
      </c>
      <c r="F37" s="7" t="str">
        <f>VLOOKUP(E37,PipeN!$B$3:$D$48,2,FALSE)</f>
        <v>5"</v>
      </c>
      <c r="G37" s="7">
        <f>VLOOKUP(E37,PipeN!$B$3:$D$48,3,FALSE)</f>
        <v>139.69999999999999</v>
      </c>
      <c r="H37" s="7">
        <f>VLOOKUP(E37,PipeN!$B$72:$D$101,3,FALSE)</f>
        <v>133</v>
      </c>
      <c r="I37" s="20">
        <v>229</v>
      </c>
      <c r="J37" s="20">
        <v>143</v>
      </c>
      <c r="K37" s="20">
        <v>137</v>
      </c>
    </row>
    <row r="38" spans="1:11" s="11" customFormat="1" x14ac:dyDescent="0.15">
      <c r="A38" s="20">
        <v>150</v>
      </c>
      <c r="B38" s="7" t="str">
        <f>VLOOKUP(A38,PipeN!$B$3:$D$48,2,FALSE)</f>
        <v>6"</v>
      </c>
      <c r="C38" s="7">
        <f>VLOOKUP(A38,PipeN!$B$3:$D$48,3,FALSE)</f>
        <v>168.3</v>
      </c>
      <c r="D38" s="7">
        <f>VLOOKUP(A38,PipeN!$B$72:$D$101,3,FALSE)</f>
        <v>159</v>
      </c>
      <c r="E38" s="20">
        <v>100</v>
      </c>
      <c r="F38" s="7" t="str">
        <f>VLOOKUP(E38,PipeN!$B$3:$D$48,2,FALSE)</f>
        <v>4"</v>
      </c>
      <c r="G38" s="7">
        <f>VLOOKUP(E38,PipeN!$B$3:$D$48,3,FALSE)</f>
        <v>114.3</v>
      </c>
      <c r="H38" s="7">
        <f>VLOOKUP(E38,PipeN!$B$72:$D$101,3,FALSE)</f>
        <v>108</v>
      </c>
      <c r="I38" s="20">
        <v>229</v>
      </c>
      <c r="J38" s="20">
        <v>143</v>
      </c>
      <c r="K38" s="20">
        <v>130</v>
      </c>
    </row>
    <row r="39" spans="1:11" s="11" customFormat="1" x14ac:dyDescent="0.15">
      <c r="A39" s="20">
        <v>150</v>
      </c>
      <c r="B39" s="7" t="str">
        <f>VLOOKUP(A39,PipeN!$B$3:$D$48,2,FALSE)</f>
        <v>6"</v>
      </c>
      <c r="C39" s="7">
        <f>VLOOKUP(A39,PipeN!$B$3:$D$48,3,FALSE)</f>
        <v>168.3</v>
      </c>
      <c r="D39" s="7">
        <f>VLOOKUP(A39,PipeN!$B$72:$D$101,3,FALSE)</f>
        <v>159</v>
      </c>
      <c r="E39" s="20">
        <v>80</v>
      </c>
      <c r="F39" s="7" t="str">
        <f>VLOOKUP(E39,PipeN!$B$3:$D$48,2,FALSE)</f>
        <v>3"</v>
      </c>
      <c r="G39" s="7">
        <f>VLOOKUP(E39,PipeN!$B$3:$D$48,3,FALSE)</f>
        <v>88.9</v>
      </c>
      <c r="H39" s="7">
        <f>VLOOKUP(E39,PipeN!$B$72:$D$101,3,FALSE)</f>
        <v>89</v>
      </c>
      <c r="I39" s="20">
        <v>229</v>
      </c>
      <c r="J39" s="20">
        <v>143</v>
      </c>
      <c r="K39" s="20">
        <v>124</v>
      </c>
    </row>
    <row r="40" spans="1:11" s="11" customFormat="1" x14ac:dyDescent="0.15">
      <c r="A40" s="20">
        <v>150</v>
      </c>
      <c r="B40" s="7" t="str">
        <f>VLOOKUP(A40,PipeN!$B$3:$D$48,2,FALSE)</f>
        <v>6"</v>
      </c>
      <c r="C40" s="7">
        <f>VLOOKUP(A40,PipeN!$B$3:$D$48,3,FALSE)</f>
        <v>168.3</v>
      </c>
      <c r="D40" s="7">
        <f>VLOOKUP(A40,PipeN!$B$72:$D$101,3,FALSE)</f>
        <v>159</v>
      </c>
      <c r="E40" s="20">
        <v>65</v>
      </c>
      <c r="F40" s="7" t="str">
        <f>VLOOKUP(E40,PipeN!$B$3:$D$48,2,FALSE)</f>
        <v>2 1/2"</v>
      </c>
      <c r="G40" s="7">
        <f>VLOOKUP(E40,PipeN!$B$3:$D$48,3,FALSE)</f>
        <v>76.099999999999994</v>
      </c>
      <c r="H40" s="7">
        <f>VLOOKUP(E40,PipeN!$B$72:$D$101,3,FALSE)</f>
        <v>76</v>
      </c>
      <c r="I40" s="20"/>
      <c r="J40" s="20">
        <v>143</v>
      </c>
      <c r="K40" s="20">
        <v>121</v>
      </c>
    </row>
    <row r="41" spans="1:11" s="11" customFormat="1" x14ac:dyDescent="0.15">
      <c r="A41" s="20">
        <v>200</v>
      </c>
      <c r="B41" s="7" t="str">
        <f>VLOOKUP(A41,PipeN!$B$3:$D$48,2,FALSE)</f>
        <v>8"</v>
      </c>
      <c r="C41" s="7">
        <f>VLOOKUP(A41,PipeN!$B$3:$D$48,3,FALSE)</f>
        <v>219.1</v>
      </c>
      <c r="D41" s="7">
        <f>VLOOKUP(A41,PipeN!$B$72:$D$101,3,FALSE)</f>
        <v>219</v>
      </c>
      <c r="E41" s="20">
        <v>150</v>
      </c>
      <c r="F41" s="7" t="str">
        <f>VLOOKUP(E41,PipeN!$B$3:$D$48,2,FALSE)</f>
        <v>6"</v>
      </c>
      <c r="G41" s="7">
        <f>VLOOKUP(E41,PipeN!$B$3:$D$48,3,FALSE)</f>
        <v>168.3</v>
      </c>
      <c r="H41" s="7">
        <f>VLOOKUP(E41,PipeN!$B$72:$D$101,3,FALSE)</f>
        <v>159</v>
      </c>
      <c r="I41" s="20">
        <v>305</v>
      </c>
      <c r="J41" s="20">
        <v>178</v>
      </c>
      <c r="K41" s="20">
        <v>168</v>
      </c>
    </row>
    <row r="42" spans="1:11" s="11" customFormat="1" x14ac:dyDescent="0.15">
      <c r="A42" s="20">
        <v>200</v>
      </c>
      <c r="B42" s="7" t="str">
        <f>VLOOKUP(A42,PipeN!$B$3:$D$48,2,FALSE)</f>
        <v>8"</v>
      </c>
      <c r="C42" s="7">
        <f>VLOOKUP(A42,PipeN!$B$3:$D$48,3,FALSE)</f>
        <v>219.1</v>
      </c>
      <c r="D42" s="7">
        <f>VLOOKUP(A42,PipeN!$B$72:$D$101,3,FALSE)</f>
        <v>219</v>
      </c>
      <c r="E42" s="20">
        <v>125</v>
      </c>
      <c r="F42" s="7" t="str">
        <f>VLOOKUP(E42,PipeN!$B$3:$D$48,2,FALSE)</f>
        <v>5"</v>
      </c>
      <c r="G42" s="7">
        <f>VLOOKUP(E42,PipeN!$B$3:$D$48,3,FALSE)</f>
        <v>139.69999999999999</v>
      </c>
      <c r="H42" s="7">
        <f>VLOOKUP(E42,PipeN!$B$72:$D$101,3,FALSE)</f>
        <v>133</v>
      </c>
      <c r="I42" s="20">
        <v>305</v>
      </c>
      <c r="J42" s="20">
        <v>178</v>
      </c>
      <c r="K42" s="20">
        <v>162</v>
      </c>
    </row>
    <row r="43" spans="1:11" s="11" customFormat="1" x14ac:dyDescent="0.15">
      <c r="A43" s="20">
        <v>200</v>
      </c>
      <c r="B43" s="7" t="str">
        <f>VLOOKUP(A43,PipeN!$B$3:$D$48,2,FALSE)</f>
        <v>8"</v>
      </c>
      <c r="C43" s="7">
        <f>VLOOKUP(A43,PipeN!$B$3:$D$48,3,FALSE)</f>
        <v>219.1</v>
      </c>
      <c r="D43" s="7">
        <f>VLOOKUP(A43,PipeN!$B$72:$D$101,3,FALSE)</f>
        <v>219</v>
      </c>
      <c r="E43" s="20">
        <v>100</v>
      </c>
      <c r="F43" s="7" t="str">
        <f>VLOOKUP(E43,PipeN!$B$3:$D$48,2,FALSE)</f>
        <v>4"</v>
      </c>
      <c r="G43" s="7">
        <f>VLOOKUP(E43,PipeN!$B$3:$D$48,3,FALSE)</f>
        <v>114.3</v>
      </c>
      <c r="H43" s="7">
        <f>VLOOKUP(E43,PipeN!$B$72:$D$101,3,FALSE)</f>
        <v>108</v>
      </c>
      <c r="I43" s="20">
        <v>305</v>
      </c>
      <c r="J43" s="20">
        <v>178</v>
      </c>
      <c r="K43" s="20">
        <v>156</v>
      </c>
    </row>
    <row r="44" spans="1:11" s="11" customFormat="1" x14ac:dyDescent="0.15">
      <c r="A44" s="20">
        <v>250</v>
      </c>
      <c r="B44" s="7" t="str">
        <f>VLOOKUP(A44,PipeN!$B$3:$D$48,2,FALSE)</f>
        <v>10"</v>
      </c>
      <c r="C44" s="7">
        <f>VLOOKUP(A44,PipeN!$B$3:$D$48,3,FALSE)</f>
        <v>273</v>
      </c>
      <c r="D44" s="7">
        <f>VLOOKUP(A44,PipeN!$B$72:$D$101,3,FALSE)</f>
        <v>273</v>
      </c>
      <c r="E44" s="20">
        <v>200</v>
      </c>
      <c r="F44" s="7" t="str">
        <f>VLOOKUP(E44,PipeN!$B$3:$D$48,2,FALSE)</f>
        <v>8"</v>
      </c>
      <c r="G44" s="7">
        <f>VLOOKUP(E44,PipeN!$B$3:$D$48,3,FALSE)</f>
        <v>219.1</v>
      </c>
      <c r="H44" s="7">
        <f>VLOOKUP(E44,PipeN!$B$72:$D$101,3,FALSE)</f>
        <v>219</v>
      </c>
      <c r="I44" s="20">
        <v>381</v>
      </c>
      <c r="J44" s="20">
        <v>216</v>
      </c>
      <c r="K44" s="20">
        <v>203</v>
      </c>
    </row>
    <row r="45" spans="1:11" s="11" customFormat="1" x14ac:dyDescent="0.15">
      <c r="A45" s="20">
        <v>250</v>
      </c>
      <c r="B45" s="7" t="str">
        <f>VLOOKUP(A45,PipeN!$B$3:$D$48,2,FALSE)</f>
        <v>10"</v>
      </c>
      <c r="C45" s="7">
        <f>VLOOKUP(A45,PipeN!$B$3:$D$48,3,FALSE)</f>
        <v>273</v>
      </c>
      <c r="D45" s="7">
        <f>VLOOKUP(A45,PipeN!$B$72:$D$101,3,FALSE)</f>
        <v>273</v>
      </c>
      <c r="E45" s="20">
        <v>150</v>
      </c>
      <c r="F45" s="7" t="str">
        <f>VLOOKUP(E45,PipeN!$B$3:$D$48,2,FALSE)</f>
        <v>6"</v>
      </c>
      <c r="G45" s="7">
        <f>VLOOKUP(E45,PipeN!$B$3:$D$48,3,FALSE)</f>
        <v>168.3</v>
      </c>
      <c r="H45" s="7">
        <f>VLOOKUP(E45,PipeN!$B$72:$D$101,3,FALSE)</f>
        <v>159</v>
      </c>
      <c r="I45" s="20">
        <v>381</v>
      </c>
      <c r="J45" s="20">
        <v>216</v>
      </c>
      <c r="K45" s="20">
        <v>194</v>
      </c>
    </row>
    <row r="46" spans="1:11" s="11" customFormat="1" x14ac:dyDescent="0.15">
      <c r="A46" s="20">
        <v>250</v>
      </c>
      <c r="B46" s="7" t="str">
        <f>VLOOKUP(A46,PipeN!$B$3:$D$48,2,FALSE)</f>
        <v>10"</v>
      </c>
      <c r="C46" s="7">
        <f>VLOOKUP(A46,PipeN!$B$3:$D$48,3,FALSE)</f>
        <v>273</v>
      </c>
      <c r="D46" s="7">
        <f>VLOOKUP(A46,PipeN!$B$72:$D$101,3,FALSE)</f>
        <v>273</v>
      </c>
      <c r="E46" s="20">
        <v>125</v>
      </c>
      <c r="F46" s="7" t="str">
        <f>VLOOKUP(E46,PipeN!$B$3:$D$48,2,FALSE)</f>
        <v>5"</v>
      </c>
      <c r="G46" s="7">
        <f>VLOOKUP(E46,PipeN!$B$3:$D$48,3,FALSE)</f>
        <v>139.69999999999999</v>
      </c>
      <c r="H46" s="7">
        <f>VLOOKUP(E46,PipeN!$B$72:$D$101,3,FALSE)</f>
        <v>133</v>
      </c>
      <c r="I46" s="20">
        <v>381</v>
      </c>
      <c r="J46" s="20">
        <v>216</v>
      </c>
      <c r="K46" s="20">
        <v>191</v>
      </c>
    </row>
    <row r="47" spans="1:11" s="11" customFormat="1" x14ac:dyDescent="0.15">
      <c r="A47" s="20">
        <v>250</v>
      </c>
      <c r="B47" s="7" t="str">
        <f>VLOOKUP(A47,PipeN!$B$3:$D$48,2,FALSE)</f>
        <v>10"</v>
      </c>
      <c r="C47" s="7">
        <f>VLOOKUP(A47,PipeN!$B$3:$D$48,3,FALSE)</f>
        <v>273</v>
      </c>
      <c r="D47" s="7">
        <f>VLOOKUP(A47,PipeN!$B$72:$D$101,3,FALSE)</f>
        <v>273</v>
      </c>
      <c r="E47" s="20">
        <v>100</v>
      </c>
      <c r="F47" s="7" t="str">
        <f>VLOOKUP(E47,PipeN!$B$3:$D$48,2,FALSE)</f>
        <v>4"</v>
      </c>
      <c r="G47" s="7">
        <f>VLOOKUP(E47,PipeN!$B$3:$D$48,3,FALSE)</f>
        <v>114.3</v>
      </c>
      <c r="H47" s="7">
        <f>VLOOKUP(E47,PipeN!$B$72:$D$101,3,FALSE)</f>
        <v>108</v>
      </c>
      <c r="I47" s="20"/>
      <c r="J47" s="20">
        <v>216</v>
      </c>
      <c r="K47" s="20">
        <v>184</v>
      </c>
    </row>
    <row r="48" spans="1:11" s="11" customFormat="1" x14ac:dyDescent="0.15">
      <c r="A48" s="20">
        <v>300</v>
      </c>
      <c r="B48" s="7" t="str">
        <f>VLOOKUP(A48,PipeN!$B$3:$D$48,2,FALSE)</f>
        <v>12"</v>
      </c>
      <c r="C48" s="7">
        <f>VLOOKUP(A48,PipeN!$B$3:$D$48,3,FALSE)</f>
        <v>323.89999999999998</v>
      </c>
      <c r="D48" s="7">
        <f>VLOOKUP(A48,PipeN!$B$72:$D$101,3,FALSE)</f>
        <v>325</v>
      </c>
      <c r="E48" s="20">
        <v>250</v>
      </c>
      <c r="F48" s="7" t="str">
        <f>VLOOKUP(E48,PipeN!$B$3:$D$48,2,FALSE)</f>
        <v>10"</v>
      </c>
      <c r="G48" s="7">
        <f>VLOOKUP(E48,PipeN!$B$3:$D$48,3,FALSE)</f>
        <v>273</v>
      </c>
      <c r="H48" s="7">
        <f>VLOOKUP(E48,PipeN!$B$72:$D$101,3,FALSE)</f>
        <v>273</v>
      </c>
      <c r="I48" s="20">
        <v>457</v>
      </c>
      <c r="J48" s="20">
        <v>254</v>
      </c>
      <c r="K48" s="20">
        <v>241</v>
      </c>
    </row>
    <row r="49" spans="1:11" x14ac:dyDescent="0.15">
      <c r="A49" s="20">
        <v>300</v>
      </c>
      <c r="B49" s="7" t="str">
        <f>VLOOKUP(A49,PipeN!$B$3:$D$48,2,FALSE)</f>
        <v>12"</v>
      </c>
      <c r="C49" s="7">
        <f>VLOOKUP(A49,PipeN!$B$3:$D$48,3,FALSE)</f>
        <v>323.89999999999998</v>
      </c>
      <c r="D49" s="7">
        <f>VLOOKUP(A49,PipeN!$B$72:$D$101,3,FALSE)</f>
        <v>325</v>
      </c>
      <c r="E49" s="20">
        <v>200</v>
      </c>
      <c r="F49" s="7" t="str">
        <f>VLOOKUP(E49,PipeN!$B$3:$D$48,2,FALSE)</f>
        <v>8"</v>
      </c>
      <c r="G49" s="7">
        <f>VLOOKUP(E49,PipeN!$B$3:$D$48,3,FALSE)</f>
        <v>219.1</v>
      </c>
      <c r="H49" s="7">
        <f>VLOOKUP(E49,PipeN!$B$72:$D$101,3,FALSE)</f>
        <v>219</v>
      </c>
      <c r="I49" s="20">
        <v>457</v>
      </c>
      <c r="J49" s="20">
        <v>254</v>
      </c>
      <c r="K49" s="20">
        <v>229</v>
      </c>
    </row>
    <row r="50" spans="1:11" x14ac:dyDescent="0.15">
      <c r="A50" s="20">
        <v>300</v>
      </c>
      <c r="B50" s="7" t="str">
        <f>VLOOKUP(A50,PipeN!$B$3:$D$48,2,FALSE)</f>
        <v>12"</v>
      </c>
      <c r="C50" s="7">
        <f>VLOOKUP(A50,PipeN!$B$3:$D$48,3,FALSE)</f>
        <v>323.89999999999998</v>
      </c>
      <c r="D50" s="7">
        <f>VLOOKUP(A50,PipeN!$B$72:$D$101,3,FALSE)</f>
        <v>325</v>
      </c>
      <c r="E50" s="20">
        <v>150</v>
      </c>
      <c r="F50" s="7" t="str">
        <f>VLOOKUP(E50,PipeN!$B$3:$D$48,2,FALSE)</f>
        <v>6"</v>
      </c>
      <c r="G50" s="7">
        <f>VLOOKUP(E50,PipeN!$B$3:$D$48,3,FALSE)</f>
        <v>168.3</v>
      </c>
      <c r="H50" s="7">
        <f>VLOOKUP(E50,PipeN!$B$72:$D$101,3,FALSE)</f>
        <v>159</v>
      </c>
      <c r="I50" s="20">
        <v>457</v>
      </c>
      <c r="J50" s="20">
        <v>254</v>
      </c>
      <c r="K50" s="20">
        <v>219</v>
      </c>
    </row>
    <row r="51" spans="1:11" s="11" customFormat="1" x14ac:dyDescent="0.15">
      <c r="A51" s="20">
        <v>300</v>
      </c>
      <c r="B51" s="7" t="str">
        <f>VLOOKUP(A51,PipeN!$B$3:$D$48,2,FALSE)</f>
        <v>12"</v>
      </c>
      <c r="C51" s="7">
        <f>VLOOKUP(A51,PipeN!$B$3:$D$48,3,FALSE)</f>
        <v>323.89999999999998</v>
      </c>
      <c r="D51" s="7">
        <f>VLOOKUP(A51,PipeN!$B$72:$D$101,3,FALSE)</f>
        <v>325</v>
      </c>
      <c r="E51" s="20">
        <v>125</v>
      </c>
      <c r="F51" s="7" t="str">
        <f>VLOOKUP(E51,PipeN!$B$3:$D$48,2,FALSE)</f>
        <v>5"</v>
      </c>
      <c r="G51" s="7">
        <f>VLOOKUP(E51,PipeN!$B$3:$D$48,3,FALSE)</f>
        <v>139.69999999999999</v>
      </c>
      <c r="H51" s="7">
        <f>VLOOKUP(E51,PipeN!$B$72:$D$101,3,FALSE)</f>
        <v>133</v>
      </c>
      <c r="I51" s="20"/>
      <c r="J51" s="20">
        <v>254</v>
      </c>
      <c r="K51" s="20">
        <v>216</v>
      </c>
    </row>
    <row r="52" spans="1:11" x14ac:dyDescent="0.15">
      <c r="A52" s="20">
        <v>350</v>
      </c>
      <c r="B52" s="7" t="str">
        <f>VLOOKUP(A52,PipeN!$B$3:$D$48,2,FALSE)</f>
        <v>14"</v>
      </c>
      <c r="C52" s="7">
        <f>VLOOKUP(A52,PipeN!$B$3:$D$48,3,FALSE)</f>
        <v>355.6</v>
      </c>
      <c r="D52" s="7">
        <f>VLOOKUP(A52,PipeN!$B$72:$D$101,3,FALSE)</f>
        <v>377</v>
      </c>
      <c r="E52" s="20">
        <v>300</v>
      </c>
      <c r="F52" s="7" t="str">
        <f>VLOOKUP(E52,PipeN!$B$3:$D$48,2,FALSE)</f>
        <v>12"</v>
      </c>
      <c r="G52" s="7">
        <f>VLOOKUP(E52,PipeN!$B$3:$D$48,3,FALSE)</f>
        <v>323.89999999999998</v>
      </c>
      <c r="H52" s="7">
        <f>VLOOKUP(E52,PipeN!$B$72:$D$101,3,FALSE)</f>
        <v>325</v>
      </c>
      <c r="I52" s="20">
        <v>533</v>
      </c>
      <c r="J52" s="20">
        <v>279</v>
      </c>
      <c r="K52" s="20">
        <v>270</v>
      </c>
    </row>
    <row r="53" spans="1:11" x14ac:dyDescent="0.15">
      <c r="A53" s="20">
        <v>350</v>
      </c>
      <c r="B53" s="7" t="str">
        <f>VLOOKUP(A53,PipeN!$B$3:$D$48,2,FALSE)</f>
        <v>14"</v>
      </c>
      <c r="C53" s="7">
        <f>VLOOKUP(A53,PipeN!$B$3:$D$48,3,FALSE)</f>
        <v>355.6</v>
      </c>
      <c r="D53" s="7">
        <f>VLOOKUP(A53,PipeN!$B$72:$D$101,3,FALSE)</f>
        <v>377</v>
      </c>
      <c r="E53" s="20">
        <v>250</v>
      </c>
      <c r="F53" s="7" t="str">
        <f>VLOOKUP(E53,PipeN!$B$3:$D$48,2,FALSE)</f>
        <v>10"</v>
      </c>
      <c r="G53" s="7">
        <f>VLOOKUP(E53,PipeN!$B$3:$D$48,3,FALSE)</f>
        <v>273</v>
      </c>
      <c r="H53" s="7">
        <f>VLOOKUP(E53,PipeN!$B$72:$D$101,3,FALSE)</f>
        <v>273</v>
      </c>
      <c r="I53" s="20">
        <v>533</v>
      </c>
      <c r="J53" s="20">
        <v>279</v>
      </c>
      <c r="K53" s="20">
        <v>257</v>
      </c>
    </row>
    <row r="54" spans="1:11" x14ac:dyDescent="0.15">
      <c r="A54" s="20">
        <v>350</v>
      </c>
      <c r="B54" s="7" t="str">
        <f>VLOOKUP(A54,PipeN!$B$3:$D$48,2,FALSE)</f>
        <v>14"</v>
      </c>
      <c r="C54" s="7">
        <f>VLOOKUP(A54,PipeN!$B$3:$D$48,3,FALSE)</f>
        <v>355.6</v>
      </c>
      <c r="D54" s="7">
        <f>VLOOKUP(A54,PipeN!$B$72:$D$101,3,FALSE)</f>
        <v>377</v>
      </c>
      <c r="E54" s="20">
        <v>200</v>
      </c>
      <c r="F54" s="7" t="str">
        <f>VLOOKUP(E54,PipeN!$B$3:$D$48,2,FALSE)</f>
        <v>8"</v>
      </c>
      <c r="G54" s="7">
        <f>VLOOKUP(E54,PipeN!$B$3:$D$48,3,FALSE)</f>
        <v>219.1</v>
      </c>
      <c r="H54" s="7">
        <f>VLOOKUP(E54,PipeN!$B$72:$D$101,3,FALSE)</f>
        <v>219</v>
      </c>
      <c r="I54" s="20">
        <v>533</v>
      </c>
      <c r="J54" s="20">
        <v>279</v>
      </c>
      <c r="K54" s="20">
        <v>248</v>
      </c>
    </row>
    <row r="55" spans="1:11" s="11" customFormat="1" x14ac:dyDescent="0.15">
      <c r="A55" s="20">
        <v>350</v>
      </c>
      <c r="B55" s="7" t="str">
        <f>VLOOKUP(A55,PipeN!$B$3:$D$48,2,FALSE)</f>
        <v>14"</v>
      </c>
      <c r="C55" s="7">
        <f>VLOOKUP(A55,PipeN!$B$3:$D$48,3,FALSE)</f>
        <v>355.6</v>
      </c>
      <c r="D55" s="7">
        <f>VLOOKUP(A55,PipeN!$B$72:$D$101,3,FALSE)</f>
        <v>377</v>
      </c>
      <c r="E55" s="20">
        <v>150</v>
      </c>
      <c r="F55" s="7" t="str">
        <f>VLOOKUP(E55,PipeN!$B$3:$D$48,2,FALSE)</f>
        <v>6"</v>
      </c>
      <c r="G55" s="7">
        <f>VLOOKUP(E55,PipeN!$B$3:$D$48,3,FALSE)</f>
        <v>168.3</v>
      </c>
      <c r="H55" s="7">
        <f>VLOOKUP(E55,PipeN!$B$72:$D$101,3,FALSE)</f>
        <v>159</v>
      </c>
      <c r="I55" s="20"/>
      <c r="J55" s="20">
        <v>279</v>
      </c>
      <c r="K55" s="20">
        <v>238</v>
      </c>
    </row>
    <row r="56" spans="1:11" s="11" customFormat="1" x14ac:dyDescent="0.15">
      <c r="A56" s="20">
        <v>400</v>
      </c>
      <c r="B56" s="7" t="str">
        <f>VLOOKUP(A56,PipeN!$B$3:$D$48,2,FALSE)</f>
        <v>16"</v>
      </c>
      <c r="C56" s="7">
        <f>VLOOKUP(A56,PipeN!$B$3:$D$48,3,FALSE)</f>
        <v>406.4</v>
      </c>
      <c r="D56" s="7">
        <f>VLOOKUP(A56,PipeN!$B$72:$D$101,3,FALSE)</f>
        <v>426</v>
      </c>
      <c r="E56" s="20">
        <v>350</v>
      </c>
      <c r="F56" s="7" t="str">
        <f>VLOOKUP(E56,PipeN!$B$3:$D$48,2,FALSE)</f>
        <v>14"</v>
      </c>
      <c r="G56" s="7">
        <f>VLOOKUP(E56,PipeN!$B$3:$D$48,3,FALSE)</f>
        <v>355.6</v>
      </c>
      <c r="H56" s="7">
        <f>VLOOKUP(E56,PipeN!$B$72:$D$101,3,FALSE)</f>
        <v>377</v>
      </c>
      <c r="I56" s="20">
        <v>610</v>
      </c>
      <c r="J56" s="20">
        <v>305</v>
      </c>
      <c r="K56" s="20">
        <v>305</v>
      </c>
    </row>
    <row r="57" spans="1:11" s="11" customFormat="1" x14ac:dyDescent="0.15">
      <c r="A57" s="20">
        <v>400</v>
      </c>
      <c r="B57" s="7" t="str">
        <f>VLOOKUP(A57,PipeN!$B$3:$D$48,2,FALSE)</f>
        <v>16"</v>
      </c>
      <c r="C57" s="7">
        <f>VLOOKUP(A57,PipeN!$B$3:$D$48,3,FALSE)</f>
        <v>406.4</v>
      </c>
      <c r="D57" s="7">
        <f>VLOOKUP(A57,PipeN!$B$72:$D$101,3,FALSE)</f>
        <v>426</v>
      </c>
      <c r="E57" s="20">
        <v>300</v>
      </c>
      <c r="F57" s="7" t="str">
        <f>VLOOKUP(E57,PipeN!$B$3:$D$48,2,FALSE)</f>
        <v>12"</v>
      </c>
      <c r="G57" s="7">
        <f>VLOOKUP(E57,PipeN!$B$3:$D$48,3,FALSE)</f>
        <v>323.89999999999998</v>
      </c>
      <c r="H57" s="7">
        <f>VLOOKUP(E57,PipeN!$B$72:$D$101,3,FALSE)</f>
        <v>325</v>
      </c>
      <c r="I57" s="20">
        <v>610</v>
      </c>
      <c r="J57" s="20">
        <v>305</v>
      </c>
      <c r="K57" s="20">
        <v>295</v>
      </c>
    </row>
    <row r="58" spans="1:11" s="11" customFormat="1" x14ac:dyDescent="0.15">
      <c r="A58" s="20">
        <v>400</v>
      </c>
      <c r="B58" s="7" t="str">
        <f>VLOOKUP(A58,PipeN!$B$3:$D$48,2,FALSE)</f>
        <v>16"</v>
      </c>
      <c r="C58" s="7">
        <f>VLOOKUP(A58,PipeN!$B$3:$D$48,3,FALSE)</f>
        <v>406.4</v>
      </c>
      <c r="D58" s="7">
        <f>VLOOKUP(A58,PipeN!$B$72:$D$101,3,FALSE)</f>
        <v>426</v>
      </c>
      <c r="E58" s="20">
        <v>250</v>
      </c>
      <c r="F58" s="7" t="str">
        <f>VLOOKUP(E58,PipeN!$B$3:$D$48,2,FALSE)</f>
        <v>10"</v>
      </c>
      <c r="G58" s="7">
        <f>VLOOKUP(E58,PipeN!$B$3:$D$48,3,FALSE)</f>
        <v>273</v>
      </c>
      <c r="H58" s="7">
        <f>VLOOKUP(E58,PipeN!$B$72:$D$101,3,FALSE)</f>
        <v>273</v>
      </c>
      <c r="I58" s="20">
        <v>610</v>
      </c>
      <c r="J58" s="20">
        <v>305</v>
      </c>
      <c r="K58" s="20">
        <v>283</v>
      </c>
    </row>
    <row r="59" spans="1:11" s="11" customFormat="1" x14ac:dyDescent="0.15">
      <c r="A59" s="20">
        <v>400</v>
      </c>
      <c r="B59" s="7" t="str">
        <f>VLOOKUP(A59,PipeN!$B$3:$D$48,2,FALSE)</f>
        <v>16"</v>
      </c>
      <c r="C59" s="7">
        <f>VLOOKUP(A59,PipeN!$B$3:$D$48,3,FALSE)</f>
        <v>406.4</v>
      </c>
      <c r="D59" s="7">
        <f>VLOOKUP(A59,PipeN!$B$72:$D$101,3,FALSE)</f>
        <v>426</v>
      </c>
      <c r="E59" s="20">
        <v>200</v>
      </c>
      <c r="F59" s="7" t="str">
        <f>VLOOKUP(E59,PipeN!$B$3:$D$48,2,FALSE)</f>
        <v>8"</v>
      </c>
      <c r="G59" s="7">
        <f>VLOOKUP(E59,PipeN!$B$3:$D$48,3,FALSE)</f>
        <v>219.1</v>
      </c>
      <c r="H59" s="7">
        <f>VLOOKUP(E59,PipeN!$B$72:$D$101,3,FALSE)</f>
        <v>219</v>
      </c>
      <c r="I59" s="20"/>
      <c r="J59" s="20">
        <v>305</v>
      </c>
      <c r="K59" s="20">
        <v>273</v>
      </c>
    </row>
    <row r="60" spans="1:11" s="11" customFormat="1" x14ac:dyDescent="0.15">
      <c r="A60" s="20">
        <v>400</v>
      </c>
      <c r="B60" s="7" t="str">
        <f>VLOOKUP(A60,PipeN!$B$3:$D$48,2,FALSE)</f>
        <v>16"</v>
      </c>
      <c r="C60" s="7">
        <f>VLOOKUP(A60,PipeN!$B$3:$D$48,3,FALSE)</f>
        <v>406.4</v>
      </c>
      <c r="D60" s="7">
        <f>VLOOKUP(A60,PipeN!$B$72:$D$101,3,FALSE)</f>
        <v>426</v>
      </c>
      <c r="E60" s="20">
        <v>150</v>
      </c>
      <c r="F60" s="7" t="str">
        <f>VLOOKUP(E60,PipeN!$B$3:$D$48,2,FALSE)</f>
        <v>6"</v>
      </c>
      <c r="G60" s="7">
        <f>VLOOKUP(E60,PipeN!$B$3:$D$48,3,FALSE)</f>
        <v>168.3</v>
      </c>
      <c r="H60" s="7">
        <f>VLOOKUP(E60,PipeN!$B$72:$D$101,3,FALSE)</f>
        <v>159</v>
      </c>
      <c r="I60" s="20"/>
      <c r="J60" s="20">
        <v>305</v>
      </c>
      <c r="K60" s="20">
        <v>264</v>
      </c>
    </row>
    <row r="61" spans="1:11" s="11" customFormat="1" x14ac:dyDescent="0.15">
      <c r="A61" s="20">
        <v>450</v>
      </c>
      <c r="B61" s="7" t="str">
        <f>VLOOKUP(A61,PipeN!$B$3:$D$48,2,FALSE)</f>
        <v>18"</v>
      </c>
      <c r="C61" s="7">
        <f>VLOOKUP(A61,PipeN!$B$3:$D$48,3,FALSE)</f>
        <v>457</v>
      </c>
      <c r="D61" s="7">
        <f>VLOOKUP(A61,PipeN!$B$72:$D$101,3,FALSE)</f>
        <v>480</v>
      </c>
      <c r="E61" s="20">
        <v>400</v>
      </c>
      <c r="F61" s="7" t="str">
        <f>VLOOKUP(E61,PipeN!$B$3:$D$48,2,FALSE)</f>
        <v>16"</v>
      </c>
      <c r="G61" s="7">
        <f>VLOOKUP(E61,PipeN!$B$3:$D$48,3,FALSE)</f>
        <v>406.4</v>
      </c>
      <c r="H61" s="7">
        <f>VLOOKUP(E61,PipeN!$B$72:$D$101,3,FALSE)</f>
        <v>426</v>
      </c>
      <c r="I61" s="20">
        <v>686</v>
      </c>
      <c r="J61" s="20">
        <v>342</v>
      </c>
      <c r="K61" s="20">
        <v>330</v>
      </c>
    </row>
    <row r="62" spans="1:11" s="11" customFormat="1" x14ac:dyDescent="0.15">
      <c r="A62" s="20">
        <v>450</v>
      </c>
      <c r="B62" s="7" t="str">
        <f>VLOOKUP(A62,PipeN!$B$3:$D$48,2,FALSE)</f>
        <v>18"</v>
      </c>
      <c r="C62" s="7">
        <f>VLOOKUP(A62,PipeN!$B$3:$D$48,3,FALSE)</f>
        <v>457</v>
      </c>
      <c r="D62" s="7">
        <f>VLOOKUP(A62,PipeN!$B$72:$D$101,3,FALSE)</f>
        <v>480</v>
      </c>
      <c r="E62" s="20">
        <v>350</v>
      </c>
      <c r="F62" s="7" t="str">
        <f>VLOOKUP(E62,PipeN!$B$3:$D$48,2,FALSE)</f>
        <v>14"</v>
      </c>
      <c r="G62" s="7">
        <f>VLOOKUP(E62,PipeN!$B$3:$D$48,3,FALSE)</f>
        <v>355.6</v>
      </c>
      <c r="H62" s="7">
        <f>VLOOKUP(E62,PipeN!$B$72:$D$101,3,FALSE)</f>
        <v>377</v>
      </c>
      <c r="I62" s="20">
        <v>686</v>
      </c>
      <c r="J62" s="20">
        <v>342</v>
      </c>
      <c r="K62" s="20">
        <v>330</v>
      </c>
    </row>
    <row r="63" spans="1:11" s="11" customFormat="1" x14ac:dyDescent="0.15">
      <c r="A63" s="20">
        <v>450</v>
      </c>
      <c r="B63" s="7" t="str">
        <f>VLOOKUP(A63,PipeN!$B$3:$D$48,2,FALSE)</f>
        <v>18"</v>
      </c>
      <c r="C63" s="7">
        <f>VLOOKUP(A63,PipeN!$B$3:$D$48,3,FALSE)</f>
        <v>457</v>
      </c>
      <c r="D63" s="7">
        <f>VLOOKUP(A63,PipeN!$B$72:$D$101,3,FALSE)</f>
        <v>480</v>
      </c>
      <c r="E63" s="20">
        <v>300</v>
      </c>
      <c r="F63" s="7" t="str">
        <f>VLOOKUP(E63,PipeN!$B$3:$D$48,2,FALSE)</f>
        <v>12"</v>
      </c>
      <c r="G63" s="7">
        <f>VLOOKUP(E63,PipeN!$B$3:$D$48,3,FALSE)</f>
        <v>323.89999999999998</v>
      </c>
      <c r="H63" s="7">
        <f>VLOOKUP(E63,PipeN!$B$72:$D$101,3,FALSE)</f>
        <v>325</v>
      </c>
      <c r="I63" s="20">
        <v>686</v>
      </c>
      <c r="J63" s="20">
        <v>342</v>
      </c>
      <c r="K63" s="20">
        <v>321</v>
      </c>
    </row>
    <row r="64" spans="1:11" s="11" customFormat="1" x14ac:dyDescent="0.15">
      <c r="A64" s="20">
        <v>450</v>
      </c>
      <c r="B64" s="7" t="str">
        <f>VLOOKUP(A64,PipeN!$B$3:$D$48,2,FALSE)</f>
        <v>18"</v>
      </c>
      <c r="C64" s="7">
        <f>VLOOKUP(A64,PipeN!$B$3:$D$48,3,FALSE)</f>
        <v>457</v>
      </c>
      <c r="D64" s="7">
        <f>VLOOKUP(A64,PipeN!$B$72:$D$101,3,FALSE)</f>
        <v>480</v>
      </c>
      <c r="E64" s="20">
        <v>250</v>
      </c>
      <c r="F64" s="7" t="str">
        <f>VLOOKUP(E64,PipeN!$B$3:$D$48,2,FALSE)</f>
        <v>10"</v>
      </c>
      <c r="G64" s="7">
        <f>VLOOKUP(E64,PipeN!$B$3:$D$48,3,FALSE)</f>
        <v>273</v>
      </c>
      <c r="H64" s="7">
        <f>VLOOKUP(E64,PipeN!$B$72:$D$101,3,FALSE)</f>
        <v>273</v>
      </c>
      <c r="I64" s="20"/>
      <c r="J64" s="20">
        <v>342</v>
      </c>
      <c r="K64" s="20">
        <v>308</v>
      </c>
    </row>
    <row r="65" spans="1:11" s="11" customFormat="1" x14ac:dyDescent="0.15">
      <c r="A65" s="20">
        <v>450</v>
      </c>
      <c r="B65" s="7" t="str">
        <f>VLOOKUP(A65,PipeN!$B$3:$D$48,2,FALSE)</f>
        <v>18"</v>
      </c>
      <c r="C65" s="7">
        <f>VLOOKUP(A65,PipeN!$B$3:$D$48,3,FALSE)</f>
        <v>457</v>
      </c>
      <c r="D65" s="7">
        <f>VLOOKUP(A65,PipeN!$B$72:$D$101,3,FALSE)</f>
        <v>480</v>
      </c>
      <c r="E65" s="20">
        <v>200</v>
      </c>
      <c r="F65" s="7" t="str">
        <f>VLOOKUP(E65,PipeN!$B$3:$D$48,2,FALSE)</f>
        <v>8"</v>
      </c>
      <c r="G65" s="7">
        <f>VLOOKUP(E65,PipeN!$B$3:$D$48,3,FALSE)</f>
        <v>219.1</v>
      </c>
      <c r="H65" s="7">
        <f>VLOOKUP(E65,PipeN!$B$72:$D$101,3,FALSE)</f>
        <v>219</v>
      </c>
      <c r="I65" s="20"/>
      <c r="J65" s="20">
        <v>342</v>
      </c>
      <c r="K65" s="20">
        <v>298</v>
      </c>
    </row>
    <row r="66" spans="1:11" s="11" customFormat="1" x14ac:dyDescent="0.15">
      <c r="A66" s="20">
        <v>500</v>
      </c>
      <c r="B66" s="7" t="str">
        <f>VLOOKUP(A66,PipeN!$B$3:$D$48,2,FALSE)</f>
        <v>20"</v>
      </c>
      <c r="C66" s="7">
        <f>VLOOKUP(A66,PipeN!$B$3:$D$48,3,FALSE)</f>
        <v>508</v>
      </c>
      <c r="D66" s="7">
        <f>VLOOKUP(A66,PipeN!$B$72:$D$101,3,FALSE)</f>
        <v>530</v>
      </c>
      <c r="E66" s="20">
        <v>450</v>
      </c>
      <c r="F66" s="7" t="str">
        <f>VLOOKUP(E66,PipeN!$B$3:$D$48,2,FALSE)</f>
        <v>18"</v>
      </c>
      <c r="G66" s="7">
        <f>VLOOKUP(E66,PipeN!$B$3:$D$48,3,FALSE)</f>
        <v>457</v>
      </c>
      <c r="H66" s="7">
        <f>VLOOKUP(E66,PipeN!$B$72:$D$101,3,FALSE)</f>
        <v>480</v>
      </c>
      <c r="I66" s="20">
        <v>762</v>
      </c>
      <c r="J66" s="20">
        <v>381</v>
      </c>
      <c r="K66" s="20">
        <v>368</v>
      </c>
    </row>
    <row r="67" spans="1:11" s="11" customFormat="1" x14ac:dyDescent="0.15">
      <c r="A67" s="20">
        <v>500</v>
      </c>
      <c r="B67" s="7" t="str">
        <f>VLOOKUP(A67,PipeN!$B$3:$D$48,2,FALSE)</f>
        <v>20"</v>
      </c>
      <c r="C67" s="7">
        <f>VLOOKUP(A67,PipeN!$B$3:$D$48,3,FALSE)</f>
        <v>508</v>
      </c>
      <c r="D67" s="7">
        <f>VLOOKUP(A67,PipeN!$B$72:$D$101,3,FALSE)</f>
        <v>530</v>
      </c>
      <c r="E67" s="20">
        <v>400</v>
      </c>
      <c r="F67" s="7" t="str">
        <f>VLOOKUP(E67,PipeN!$B$3:$D$48,2,FALSE)</f>
        <v>16"</v>
      </c>
      <c r="G67" s="7">
        <f>VLOOKUP(E67,PipeN!$B$3:$D$48,3,FALSE)</f>
        <v>406.4</v>
      </c>
      <c r="H67" s="7">
        <f>VLOOKUP(E67,PipeN!$B$72:$D$101,3,FALSE)</f>
        <v>426</v>
      </c>
      <c r="I67" s="20">
        <v>762</v>
      </c>
      <c r="J67" s="20">
        <v>381</v>
      </c>
      <c r="K67" s="20">
        <v>356</v>
      </c>
    </row>
    <row r="68" spans="1:11" s="11" customFormat="1" x14ac:dyDescent="0.15">
      <c r="A68" s="20">
        <v>500</v>
      </c>
      <c r="B68" s="7" t="str">
        <f>VLOOKUP(A68,PipeN!$B$3:$D$48,2,FALSE)</f>
        <v>20"</v>
      </c>
      <c r="C68" s="7">
        <f>VLOOKUP(A68,PipeN!$B$3:$D$48,3,FALSE)</f>
        <v>508</v>
      </c>
      <c r="D68" s="7">
        <f>VLOOKUP(A68,PipeN!$B$72:$D$101,3,FALSE)</f>
        <v>530</v>
      </c>
      <c r="E68" s="20">
        <v>350</v>
      </c>
      <c r="F68" s="7" t="str">
        <f>VLOOKUP(E68,PipeN!$B$3:$D$48,2,FALSE)</f>
        <v>14"</v>
      </c>
      <c r="G68" s="7">
        <f>VLOOKUP(E68,PipeN!$B$3:$D$48,3,FALSE)</f>
        <v>355.6</v>
      </c>
      <c r="H68" s="7">
        <f>VLOOKUP(E68,PipeN!$B$72:$D$101,3,FALSE)</f>
        <v>377</v>
      </c>
      <c r="I68" s="20">
        <v>762</v>
      </c>
      <c r="J68" s="20">
        <v>381</v>
      </c>
      <c r="K68" s="20">
        <v>356</v>
      </c>
    </row>
    <row r="69" spans="1:11" x14ac:dyDescent="0.15">
      <c r="A69" s="20">
        <v>500</v>
      </c>
      <c r="B69" s="7" t="str">
        <f>VLOOKUP(A69,PipeN!$B$3:$D$48,2,FALSE)</f>
        <v>20"</v>
      </c>
      <c r="C69" s="7">
        <f>VLOOKUP(A69,PipeN!$B$3:$D$48,3,FALSE)</f>
        <v>508</v>
      </c>
      <c r="D69" s="7">
        <f>VLOOKUP(A69,PipeN!$B$72:$D$101,3,FALSE)</f>
        <v>530</v>
      </c>
      <c r="E69" s="20">
        <v>300</v>
      </c>
      <c r="F69" s="7" t="str">
        <f>VLOOKUP(E69,PipeN!$B$3:$D$48,2,FALSE)</f>
        <v>12"</v>
      </c>
      <c r="G69" s="7">
        <f>VLOOKUP(E69,PipeN!$B$3:$D$48,3,FALSE)</f>
        <v>323.89999999999998</v>
      </c>
      <c r="H69" s="7">
        <f>VLOOKUP(E69,PipeN!$B$72:$D$101,3,FALSE)</f>
        <v>325</v>
      </c>
      <c r="I69" s="20">
        <v>762</v>
      </c>
      <c r="J69" s="20">
        <v>381</v>
      </c>
      <c r="K69" s="20">
        <v>346</v>
      </c>
    </row>
    <row r="70" spans="1:11" s="11" customFormat="1" x14ac:dyDescent="0.15">
      <c r="A70" s="20">
        <v>500</v>
      </c>
      <c r="B70" s="7" t="str">
        <f>VLOOKUP(A70,PipeN!$B$3:$D$48,2,FALSE)</f>
        <v>20"</v>
      </c>
      <c r="C70" s="7">
        <f>VLOOKUP(A70,PipeN!$B$3:$D$48,3,FALSE)</f>
        <v>508</v>
      </c>
      <c r="D70" s="7">
        <f>VLOOKUP(A70,PipeN!$B$72:$D$101,3,FALSE)</f>
        <v>530</v>
      </c>
      <c r="E70" s="20">
        <v>250</v>
      </c>
      <c r="F70" s="7" t="str">
        <f>VLOOKUP(E70,PipeN!$B$3:$D$48,2,FALSE)</f>
        <v>10"</v>
      </c>
      <c r="G70" s="7">
        <f>VLOOKUP(E70,PipeN!$B$3:$D$48,3,FALSE)</f>
        <v>273</v>
      </c>
      <c r="H70" s="7">
        <f>VLOOKUP(E70,PipeN!$B$72:$D$101,3,FALSE)</f>
        <v>273</v>
      </c>
      <c r="I70" s="20">
        <v>762</v>
      </c>
      <c r="J70" s="20">
        <v>381</v>
      </c>
      <c r="K70" s="20">
        <v>333</v>
      </c>
    </row>
    <row r="71" spans="1:11" s="11" customFormat="1" x14ac:dyDescent="0.15">
      <c r="A71" s="20">
        <v>500</v>
      </c>
      <c r="B71" s="7" t="str">
        <f>VLOOKUP(A71,PipeN!$B$3:$D$48,2,FALSE)</f>
        <v>20"</v>
      </c>
      <c r="C71" s="7">
        <f>VLOOKUP(A71,PipeN!$B$3:$D$48,3,FALSE)</f>
        <v>508</v>
      </c>
      <c r="D71" s="7">
        <f>VLOOKUP(A71,PipeN!$B$72:$D$101,3,FALSE)</f>
        <v>530</v>
      </c>
      <c r="E71" s="20">
        <v>200</v>
      </c>
      <c r="F71" s="7" t="str">
        <f>VLOOKUP(E71,PipeN!$B$3:$D$48,2,FALSE)</f>
        <v>8"</v>
      </c>
      <c r="G71" s="7">
        <f>VLOOKUP(E71,PipeN!$B$3:$D$48,3,FALSE)</f>
        <v>219.1</v>
      </c>
      <c r="H71" s="7">
        <f>VLOOKUP(E71,PipeN!$B$72:$D$101,3,FALSE)</f>
        <v>219</v>
      </c>
      <c r="I71" s="20"/>
      <c r="J71" s="20">
        <v>381</v>
      </c>
      <c r="K71" s="20">
        <v>324</v>
      </c>
    </row>
    <row r="72" spans="1:11" s="11" customFormat="1" x14ac:dyDescent="0.15">
      <c r="A72" s="20">
        <v>550</v>
      </c>
      <c r="B72" s="7" t="str">
        <f>VLOOKUP(A72,PipeN!$B$3:$D$48,2,FALSE)</f>
        <v>22"</v>
      </c>
      <c r="C72" s="7">
        <f>VLOOKUP(A72,PipeN!$B$3:$D$48,3,FALSE)</f>
        <v>559</v>
      </c>
      <c r="D72" s="7"/>
      <c r="E72" s="20">
        <v>500</v>
      </c>
      <c r="F72" s="7" t="str">
        <f>VLOOKUP(E72,PipeN!$B$3:$D$48,2,FALSE)</f>
        <v>20"</v>
      </c>
      <c r="G72" s="7">
        <f>VLOOKUP(E72,PipeN!$B$3:$D$48,3,FALSE)</f>
        <v>508</v>
      </c>
      <c r="H72" s="7"/>
      <c r="I72" s="20"/>
      <c r="J72" s="20">
        <v>419</v>
      </c>
      <c r="K72" s="23">
        <v>406</v>
      </c>
    </row>
    <row r="73" spans="1:11" s="11" customFormat="1" x14ac:dyDescent="0.15">
      <c r="A73" s="20">
        <v>550</v>
      </c>
      <c r="B73" s="7" t="str">
        <f>VLOOKUP(A73,PipeN!$B$3:$D$48,2,FALSE)</f>
        <v>22"</v>
      </c>
      <c r="C73" s="7">
        <f>VLOOKUP(A73,PipeN!$B$3:$D$48,3,FALSE)</f>
        <v>559</v>
      </c>
      <c r="D73" s="7"/>
      <c r="E73" s="20">
        <v>450</v>
      </c>
      <c r="F73" s="7" t="str">
        <f>VLOOKUP(E73,PipeN!$B$3:$D$48,2,FALSE)</f>
        <v>18"</v>
      </c>
      <c r="G73" s="7">
        <f>VLOOKUP(E73,PipeN!$B$3:$D$48,3,FALSE)</f>
        <v>457</v>
      </c>
      <c r="H73" s="7"/>
      <c r="I73" s="20"/>
      <c r="J73" s="20">
        <v>419</v>
      </c>
      <c r="K73" s="20">
        <v>394</v>
      </c>
    </row>
    <row r="74" spans="1:11" s="11" customFormat="1" x14ac:dyDescent="0.15">
      <c r="A74" s="20">
        <v>550</v>
      </c>
      <c r="B74" s="7" t="str">
        <f>VLOOKUP(A74,PipeN!$B$3:$D$48,2,FALSE)</f>
        <v>22"</v>
      </c>
      <c r="C74" s="7">
        <f>VLOOKUP(A74,PipeN!$B$3:$D$48,3,FALSE)</f>
        <v>559</v>
      </c>
      <c r="D74" s="7"/>
      <c r="E74" s="20">
        <v>400</v>
      </c>
      <c r="F74" s="7" t="str">
        <f>VLOOKUP(E74,PipeN!$B$3:$D$48,2,FALSE)</f>
        <v>16"</v>
      </c>
      <c r="G74" s="7">
        <f>VLOOKUP(E74,PipeN!$B$3:$D$48,3,FALSE)</f>
        <v>406.4</v>
      </c>
      <c r="H74" s="7"/>
      <c r="I74" s="20"/>
      <c r="J74" s="20">
        <v>419</v>
      </c>
      <c r="K74" s="20">
        <v>381</v>
      </c>
    </row>
    <row r="75" spans="1:11" s="11" customFormat="1" x14ac:dyDescent="0.15">
      <c r="A75" s="20">
        <v>550</v>
      </c>
      <c r="B75" s="7" t="str">
        <f>VLOOKUP(A75,PipeN!$B$3:$D$48,2,FALSE)</f>
        <v>22"</v>
      </c>
      <c r="C75" s="7">
        <f>VLOOKUP(A75,PipeN!$B$3:$D$48,3,FALSE)</f>
        <v>559</v>
      </c>
      <c r="D75" s="7"/>
      <c r="E75" s="20">
        <v>350</v>
      </c>
      <c r="F75" s="7" t="str">
        <f>VLOOKUP(E75,PipeN!$B$3:$D$48,2,FALSE)</f>
        <v>14"</v>
      </c>
      <c r="G75" s="7">
        <f>VLOOKUP(E75,PipeN!$B$3:$D$48,3,FALSE)</f>
        <v>355.6</v>
      </c>
      <c r="H75" s="7"/>
      <c r="I75" s="20"/>
      <c r="J75" s="20">
        <v>419</v>
      </c>
      <c r="K75" s="20">
        <v>381</v>
      </c>
    </row>
    <row r="76" spans="1:11" s="11" customFormat="1" x14ac:dyDescent="0.15">
      <c r="A76" s="20">
        <v>550</v>
      </c>
      <c r="B76" s="7" t="str">
        <f>VLOOKUP(A76,PipeN!$B$3:$D$48,2,FALSE)</f>
        <v>22"</v>
      </c>
      <c r="C76" s="7">
        <f>VLOOKUP(A76,PipeN!$B$3:$D$48,3,FALSE)</f>
        <v>559</v>
      </c>
      <c r="D76" s="7"/>
      <c r="E76" s="20">
        <v>300</v>
      </c>
      <c r="F76" s="7" t="str">
        <f>VLOOKUP(E76,PipeN!$B$3:$D$48,2,FALSE)</f>
        <v>12"</v>
      </c>
      <c r="G76" s="7">
        <f>VLOOKUP(E76,PipeN!$B$3:$D$48,3,FALSE)</f>
        <v>323.89999999999998</v>
      </c>
      <c r="H76" s="7"/>
      <c r="I76" s="20"/>
      <c r="J76" s="20">
        <v>419</v>
      </c>
      <c r="K76" s="20">
        <v>371</v>
      </c>
    </row>
    <row r="77" spans="1:11" s="11" customFormat="1" x14ac:dyDescent="0.15">
      <c r="A77" s="20">
        <v>550</v>
      </c>
      <c r="B77" s="7" t="str">
        <f>VLOOKUP(A77,PipeN!$B$3:$D$48,2,FALSE)</f>
        <v>22"</v>
      </c>
      <c r="C77" s="7">
        <f>VLOOKUP(A77,PipeN!$B$3:$D$48,3,FALSE)</f>
        <v>559</v>
      </c>
      <c r="D77" s="7"/>
      <c r="E77" s="20">
        <v>250</v>
      </c>
      <c r="F77" s="7" t="str">
        <f>VLOOKUP(E77,PipeN!$B$3:$D$48,2,FALSE)</f>
        <v>10"</v>
      </c>
      <c r="G77" s="7">
        <f>VLOOKUP(E77,PipeN!$B$3:$D$48,3,FALSE)</f>
        <v>273</v>
      </c>
      <c r="H77" s="7"/>
      <c r="I77" s="20"/>
      <c r="J77" s="20">
        <v>419</v>
      </c>
      <c r="K77" s="20">
        <v>359</v>
      </c>
    </row>
    <row r="78" spans="1:11" s="11" customFormat="1" x14ac:dyDescent="0.15">
      <c r="A78" s="20">
        <v>600</v>
      </c>
      <c r="B78" s="7" t="str">
        <f>VLOOKUP(A78,PipeN!$B$3:$D$48,2,FALSE)</f>
        <v>24"</v>
      </c>
      <c r="C78" s="7">
        <f>VLOOKUP(A78,PipeN!$B$3:$D$48,3,FALSE)</f>
        <v>610</v>
      </c>
      <c r="D78" s="7"/>
      <c r="E78" s="20">
        <v>550</v>
      </c>
      <c r="F78" s="7" t="str">
        <f>VLOOKUP(E78,PipeN!$B$3:$D$48,2,FALSE)</f>
        <v>22"</v>
      </c>
      <c r="G78" s="7">
        <f>VLOOKUP(E78,PipeN!$B$3:$D$48,3,FALSE)</f>
        <v>559</v>
      </c>
      <c r="H78" s="7"/>
      <c r="I78" s="20">
        <v>914</v>
      </c>
      <c r="J78" s="20">
        <v>432</v>
      </c>
      <c r="K78" s="20">
        <v>432</v>
      </c>
    </row>
    <row r="79" spans="1:11" s="11" customFormat="1" x14ac:dyDescent="0.15">
      <c r="A79" s="20">
        <v>600</v>
      </c>
      <c r="B79" s="7" t="str">
        <f>VLOOKUP(A79,PipeN!$B$3:$D$48,2,FALSE)</f>
        <v>24"</v>
      </c>
      <c r="C79" s="7">
        <f>VLOOKUP(A79,PipeN!$B$3:$D$48,3,FALSE)</f>
        <v>610</v>
      </c>
      <c r="D79" s="7">
        <f>VLOOKUP(A79,PipeN!$B$72:$D$101,3,FALSE)</f>
        <v>630</v>
      </c>
      <c r="E79" s="20">
        <v>500</v>
      </c>
      <c r="F79" s="7" t="str">
        <f>VLOOKUP(E79,PipeN!$B$3:$D$48,2,FALSE)</f>
        <v>20"</v>
      </c>
      <c r="G79" s="7">
        <f>VLOOKUP(E79,PipeN!$B$3:$D$48,3,FALSE)</f>
        <v>508</v>
      </c>
      <c r="H79" s="7">
        <f>VLOOKUP(E79,PipeN!$B$72:$D$101,3,FALSE)</f>
        <v>530</v>
      </c>
      <c r="I79" s="20">
        <v>914</v>
      </c>
      <c r="J79" s="20">
        <v>432</v>
      </c>
      <c r="K79" s="20">
        <v>432</v>
      </c>
    </row>
    <row r="80" spans="1:11" s="11" customFormat="1" x14ac:dyDescent="0.15">
      <c r="A80" s="20">
        <v>600</v>
      </c>
      <c r="B80" s="7" t="str">
        <f>VLOOKUP(A80,PipeN!$B$3:$D$48,2,FALSE)</f>
        <v>24"</v>
      </c>
      <c r="C80" s="7">
        <f>VLOOKUP(A80,PipeN!$B$3:$D$48,3,FALSE)</f>
        <v>610</v>
      </c>
      <c r="D80" s="7">
        <f>VLOOKUP(A80,PipeN!$B$72:$D$101,3,FALSE)</f>
        <v>630</v>
      </c>
      <c r="E80" s="20">
        <v>450</v>
      </c>
      <c r="F80" s="7" t="str">
        <f>VLOOKUP(E80,PipeN!$B$3:$D$48,2,FALSE)</f>
        <v>18"</v>
      </c>
      <c r="G80" s="7">
        <f>VLOOKUP(E80,PipeN!$B$3:$D$48,3,FALSE)</f>
        <v>457</v>
      </c>
      <c r="H80" s="7">
        <f>VLOOKUP(E80,PipeN!$B$72:$D$101,3,FALSE)</f>
        <v>480</v>
      </c>
      <c r="I80" s="20">
        <v>914</v>
      </c>
      <c r="J80" s="20">
        <v>432</v>
      </c>
      <c r="K80" s="20">
        <v>419</v>
      </c>
    </row>
    <row r="81" spans="1:11" s="11" customFormat="1" x14ac:dyDescent="0.15">
      <c r="A81" s="20">
        <v>600</v>
      </c>
      <c r="B81" s="7" t="str">
        <f>VLOOKUP(A81,PipeN!$B$3:$D$48,2,FALSE)</f>
        <v>24"</v>
      </c>
      <c r="C81" s="7">
        <f>VLOOKUP(A81,PipeN!$B$3:$D$48,3,FALSE)</f>
        <v>610</v>
      </c>
      <c r="D81" s="7">
        <f>VLOOKUP(A81,PipeN!$B$72:$D$101,3,FALSE)</f>
        <v>630</v>
      </c>
      <c r="E81" s="20">
        <v>400</v>
      </c>
      <c r="F81" s="7" t="str">
        <f>VLOOKUP(E81,PipeN!$B$3:$D$48,2,FALSE)</f>
        <v>16"</v>
      </c>
      <c r="G81" s="7">
        <f>VLOOKUP(E81,PipeN!$B$3:$D$48,3,FALSE)</f>
        <v>406.4</v>
      </c>
      <c r="H81" s="7">
        <f>VLOOKUP(E81,PipeN!$B$72:$D$101,3,FALSE)</f>
        <v>426</v>
      </c>
      <c r="I81" s="20">
        <v>914</v>
      </c>
      <c r="J81" s="20">
        <v>432</v>
      </c>
      <c r="K81" s="20">
        <v>406</v>
      </c>
    </row>
    <row r="82" spans="1:11" x14ac:dyDescent="0.15">
      <c r="A82" s="20">
        <v>600</v>
      </c>
      <c r="B82" s="7" t="str">
        <f>VLOOKUP(A82,PipeN!$B$3:$D$48,2,FALSE)</f>
        <v>24"</v>
      </c>
      <c r="C82" s="7">
        <f>VLOOKUP(A82,PipeN!$B$3:$D$48,3,FALSE)</f>
        <v>610</v>
      </c>
      <c r="D82" s="7">
        <f>VLOOKUP(A82,PipeN!$B$72:$D$101,3,FALSE)</f>
        <v>630</v>
      </c>
      <c r="E82" s="20">
        <v>350</v>
      </c>
      <c r="F82" s="7" t="str">
        <f>VLOOKUP(E82,PipeN!$B$3:$D$48,2,FALSE)</f>
        <v>14"</v>
      </c>
      <c r="G82" s="7">
        <f>VLOOKUP(E82,PipeN!$B$3:$D$48,3,FALSE)</f>
        <v>355.6</v>
      </c>
      <c r="H82" s="7">
        <f>VLOOKUP(E82,PipeN!$B$72:$D$101,3,FALSE)</f>
        <v>377</v>
      </c>
      <c r="I82" s="20">
        <v>914</v>
      </c>
      <c r="J82" s="20">
        <v>432</v>
      </c>
      <c r="K82" s="20">
        <v>406</v>
      </c>
    </row>
    <row r="83" spans="1:11" x14ac:dyDescent="0.15">
      <c r="A83" s="20">
        <v>600</v>
      </c>
      <c r="B83" s="7" t="str">
        <f>VLOOKUP(A83,PipeN!$B$3:$D$48,2,FALSE)</f>
        <v>24"</v>
      </c>
      <c r="C83" s="7">
        <f>VLOOKUP(A83,PipeN!$B$3:$D$48,3,FALSE)</f>
        <v>610</v>
      </c>
      <c r="D83" s="7">
        <f>VLOOKUP(A83,PipeN!$B$72:$D$101,3,FALSE)</f>
        <v>630</v>
      </c>
      <c r="E83" s="20">
        <v>300</v>
      </c>
      <c r="F83" s="7" t="str">
        <f>VLOOKUP(E83,PipeN!$B$3:$D$48,2,FALSE)</f>
        <v>12"</v>
      </c>
      <c r="G83" s="7">
        <f>VLOOKUP(E83,PipeN!$B$3:$D$48,3,FALSE)</f>
        <v>323.89999999999998</v>
      </c>
      <c r="H83" s="7">
        <f>VLOOKUP(E83,PipeN!$B$72:$D$101,3,FALSE)</f>
        <v>325</v>
      </c>
      <c r="I83" s="20">
        <v>914</v>
      </c>
      <c r="J83" s="20">
        <v>432</v>
      </c>
      <c r="K83" s="20">
        <v>397</v>
      </c>
    </row>
    <row r="84" spans="1:11" x14ac:dyDescent="0.15">
      <c r="A84" s="23">
        <v>600</v>
      </c>
      <c r="B84" s="7" t="str">
        <f>VLOOKUP(A84,PipeN!$B$3:$D$48,2,FALSE)</f>
        <v>24"</v>
      </c>
      <c r="C84" s="7">
        <f>VLOOKUP(A84,PipeN!$B$3:$D$48,3,FALSE)</f>
        <v>610</v>
      </c>
      <c r="D84" s="7">
        <f>VLOOKUP(A84,PipeN!$B$72:$D$101,3,FALSE)</f>
        <v>630</v>
      </c>
      <c r="E84" s="20">
        <v>250</v>
      </c>
      <c r="F84" s="7" t="str">
        <f>VLOOKUP(E84,PipeN!$B$3:$D$48,2,FALSE)</f>
        <v>10"</v>
      </c>
      <c r="G84" s="7">
        <f>VLOOKUP(E84,PipeN!$B$3:$D$48,3,FALSE)</f>
        <v>273</v>
      </c>
      <c r="H84" s="7">
        <f>VLOOKUP(E84,PipeN!$B$72:$D$101,3,FALSE)</f>
        <v>273</v>
      </c>
      <c r="I84" s="20"/>
      <c r="J84" s="20">
        <v>432</v>
      </c>
      <c r="K84" s="20">
        <v>384</v>
      </c>
    </row>
    <row r="85" spans="1:11" x14ac:dyDescent="0.15">
      <c r="A85" s="20">
        <v>650</v>
      </c>
      <c r="B85" s="7" t="str">
        <f>VLOOKUP(A85,PipeN!$B$3:$D$48,2,FALSE)</f>
        <v>26"</v>
      </c>
      <c r="C85" s="7">
        <f>VLOOKUP(A85,PipeN!$B$3:$D$48,3,FALSE)</f>
        <v>660</v>
      </c>
      <c r="D85" s="7"/>
      <c r="E85" s="20">
        <v>600</v>
      </c>
      <c r="F85" s="7" t="str">
        <f>VLOOKUP(E85,PipeN!$B$3:$D$48,2,FALSE)</f>
        <v>24"</v>
      </c>
      <c r="G85" s="7">
        <f>VLOOKUP(E85,PipeN!$B$3:$D$48,3,FALSE)</f>
        <v>610</v>
      </c>
      <c r="H85" s="7"/>
      <c r="I85" s="20"/>
      <c r="J85" s="20">
        <v>495</v>
      </c>
      <c r="K85" s="20">
        <v>483</v>
      </c>
    </row>
    <row r="86" spans="1:11" s="11" customFormat="1" x14ac:dyDescent="0.15">
      <c r="A86" s="20">
        <v>650</v>
      </c>
      <c r="B86" s="7" t="str">
        <f>VLOOKUP(A86,PipeN!$B$3:$D$48,2,FALSE)</f>
        <v>26"</v>
      </c>
      <c r="C86" s="7">
        <f>VLOOKUP(A86,PipeN!$B$3:$D$48,3,FALSE)</f>
        <v>660</v>
      </c>
      <c r="D86" s="7"/>
      <c r="E86" s="20">
        <v>550</v>
      </c>
      <c r="F86" s="7" t="str">
        <f>VLOOKUP(E86,PipeN!$B$3:$D$48,2,FALSE)</f>
        <v>22"</v>
      </c>
      <c r="G86" s="7">
        <f>VLOOKUP(E86,PipeN!$B$3:$D$48,3,FALSE)</f>
        <v>559</v>
      </c>
      <c r="H86" s="7"/>
      <c r="I86" s="20"/>
      <c r="J86" s="20">
        <v>495</v>
      </c>
      <c r="K86" s="20">
        <v>470</v>
      </c>
    </row>
    <row r="87" spans="1:11" s="11" customFormat="1" x14ac:dyDescent="0.15">
      <c r="A87" s="20">
        <v>650</v>
      </c>
      <c r="B87" s="7" t="str">
        <f>VLOOKUP(A87,PipeN!$B$3:$D$48,2,FALSE)</f>
        <v>26"</v>
      </c>
      <c r="C87" s="7">
        <f>VLOOKUP(A87,PipeN!$B$3:$D$48,3,FALSE)</f>
        <v>660</v>
      </c>
      <c r="D87" s="7"/>
      <c r="E87" s="20">
        <v>500</v>
      </c>
      <c r="F87" s="7" t="str">
        <f>VLOOKUP(E87,PipeN!$B$3:$D$48,2,FALSE)</f>
        <v>20"</v>
      </c>
      <c r="G87" s="7">
        <f>VLOOKUP(E87,PipeN!$B$3:$D$48,3,FALSE)</f>
        <v>508</v>
      </c>
      <c r="H87" s="7"/>
      <c r="I87" s="20"/>
      <c r="J87" s="20">
        <v>495</v>
      </c>
      <c r="K87" s="20">
        <v>457</v>
      </c>
    </row>
    <row r="88" spans="1:11" s="11" customFormat="1" x14ac:dyDescent="0.15">
      <c r="A88" s="20">
        <v>650</v>
      </c>
      <c r="B88" s="7" t="str">
        <f>VLOOKUP(A88,PipeN!$B$3:$D$48,2,FALSE)</f>
        <v>26"</v>
      </c>
      <c r="C88" s="7">
        <f>VLOOKUP(A88,PipeN!$B$3:$D$48,3,FALSE)</f>
        <v>660</v>
      </c>
      <c r="D88" s="7"/>
      <c r="E88" s="20">
        <v>450</v>
      </c>
      <c r="F88" s="7" t="str">
        <f>VLOOKUP(E88,PipeN!$B$3:$D$48,2,FALSE)</f>
        <v>18"</v>
      </c>
      <c r="G88" s="7">
        <f>VLOOKUP(E88,PipeN!$B$3:$D$48,3,FALSE)</f>
        <v>457</v>
      </c>
      <c r="H88" s="7"/>
      <c r="I88" s="20"/>
      <c r="J88" s="20">
        <v>495</v>
      </c>
      <c r="K88" s="20">
        <v>444</v>
      </c>
    </row>
    <row r="89" spans="1:11" s="11" customFormat="1" x14ac:dyDescent="0.15">
      <c r="A89" s="20">
        <v>650</v>
      </c>
      <c r="B89" s="7" t="str">
        <f>VLOOKUP(A89,PipeN!$B$3:$D$48,2,FALSE)</f>
        <v>26"</v>
      </c>
      <c r="C89" s="7">
        <f>VLOOKUP(A89,PipeN!$B$3:$D$48,3,FALSE)</f>
        <v>660</v>
      </c>
      <c r="D89" s="7"/>
      <c r="E89" s="20">
        <v>400</v>
      </c>
      <c r="F89" s="7" t="str">
        <f>VLOOKUP(E89,PipeN!$B$3:$D$48,2,FALSE)</f>
        <v>16"</v>
      </c>
      <c r="G89" s="7">
        <f>VLOOKUP(E89,PipeN!$B$3:$D$48,3,FALSE)</f>
        <v>406.4</v>
      </c>
      <c r="H89" s="7"/>
      <c r="I89" s="20"/>
      <c r="J89" s="20">
        <v>495</v>
      </c>
      <c r="K89" s="20">
        <v>432</v>
      </c>
    </row>
    <row r="90" spans="1:11" x14ac:dyDescent="0.15">
      <c r="A90" s="20">
        <v>650</v>
      </c>
      <c r="B90" s="7" t="str">
        <f>VLOOKUP(A90,PipeN!$B$3:$D$48,2,FALSE)</f>
        <v>26"</v>
      </c>
      <c r="C90" s="7">
        <f>VLOOKUP(A90,PipeN!$B$3:$D$48,3,FALSE)</f>
        <v>660</v>
      </c>
      <c r="D90" s="7"/>
      <c r="E90" s="20">
        <v>350</v>
      </c>
      <c r="F90" s="7" t="str">
        <f>VLOOKUP(E90,PipeN!$B$3:$D$48,2,FALSE)</f>
        <v>14"</v>
      </c>
      <c r="G90" s="7">
        <f>VLOOKUP(E90,PipeN!$B$3:$D$48,3,FALSE)</f>
        <v>355.6</v>
      </c>
      <c r="H90" s="7"/>
      <c r="I90" s="20"/>
      <c r="J90" s="20">
        <v>495</v>
      </c>
      <c r="K90" s="20">
        <v>432</v>
      </c>
    </row>
    <row r="91" spans="1:11" x14ac:dyDescent="0.15">
      <c r="A91" s="20">
        <v>650</v>
      </c>
      <c r="B91" s="7" t="str">
        <f>VLOOKUP(A91,PipeN!$B$3:$D$48,2,FALSE)</f>
        <v>26"</v>
      </c>
      <c r="C91" s="7">
        <f>VLOOKUP(A91,PipeN!$B$3:$D$48,3,FALSE)</f>
        <v>660</v>
      </c>
      <c r="D91" s="7"/>
      <c r="E91" s="20">
        <v>300</v>
      </c>
      <c r="F91" s="7" t="str">
        <f>VLOOKUP(E91,PipeN!$B$3:$D$48,2,FALSE)</f>
        <v>12"</v>
      </c>
      <c r="G91" s="7">
        <f>VLOOKUP(E91,PipeN!$B$3:$D$48,3,FALSE)</f>
        <v>323.89999999999998</v>
      </c>
      <c r="H91" s="7"/>
      <c r="I91" s="20"/>
      <c r="J91" s="20">
        <v>495</v>
      </c>
      <c r="K91" s="20">
        <v>422</v>
      </c>
    </row>
    <row r="92" spans="1:11" x14ac:dyDescent="0.15">
      <c r="A92" s="20">
        <v>700</v>
      </c>
      <c r="B92" s="7" t="str">
        <f>VLOOKUP(A92,PipeN!$B$3:$D$48,2,FALSE)</f>
        <v>28"</v>
      </c>
      <c r="C92" s="7">
        <f>VLOOKUP(A92,PipeN!$B$3:$D$48,3,FALSE)</f>
        <v>711</v>
      </c>
      <c r="D92" s="7"/>
      <c r="E92" s="20">
        <v>650</v>
      </c>
      <c r="F92" s="7" t="str">
        <f>VLOOKUP(E92,PipeN!$B$3:$D$48,2,FALSE)</f>
        <v>26"</v>
      </c>
      <c r="G92" s="7">
        <f>VLOOKUP(E92,PipeN!$B$3:$D$48,3,FALSE)</f>
        <v>660</v>
      </c>
      <c r="H92" s="7"/>
      <c r="I92" s="20"/>
      <c r="J92" s="20">
        <v>521</v>
      </c>
      <c r="K92" s="20">
        <v>521</v>
      </c>
    </row>
    <row r="93" spans="1:11" s="11" customFormat="1" x14ac:dyDescent="0.15">
      <c r="A93" s="20">
        <v>700</v>
      </c>
      <c r="B93" s="7" t="str">
        <f>VLOOKUP(A93,PipeN!$B$3:$D$48,2,FALSE)</f>
        <v>28"</v>
      </c>
      <c r="C93" s="7">
        <f>VLOOKUP(A93,PipeN!$B$3:$D$48,3,FALSE)</f>
        <v>711</v>
      </c>
      <c r="D93" s="7">
        <f>VLOOKUP(A93,PipeN!$B$72:$D$101,3,FALSE)</f>
        <v>720</v>
      </c>
      <c r="E93" s="20">
        <v>600</v>
      </c>
      <c r="F93" s="7" t="str">
        <f>VLOOKUP(E93,PipeN!$B$3:$D$48,2,FALSE)</f>
        <v>24"</v>
      </c>
      <c r="G93" s="7">
        <f>VLOOKUP(E93,PipeN!$B$3:$D$48,3,FALSE)</f>
        <v>610</v>
      </c>
      <c r="H93" s="7">
        <f>VLOOKUP(E93,PipeN!$B$72:$D$101,3,FALSE)</f>
        <v>630</v>
      </c>
      <c r="I93" s="20"/>
      <c r="J93" s="20">
        <v>521</v>
      </c>
      <c r="K93" s="20">
        <v>508</v>
      </c>
    </row>
    <row r="94" spans="1:11" s="11" customFormat="1" x14ac:dyDescent="0.15">
      <c r="A94" s="20">
        <v>700</v>
      </c>
      <c r="B94" s="7" t="str">
        <f>VLOOKUP(A94,PipeN!$B$3:$D$48,2,FALSE)</f>
        <v>28"</v>
      </c>
      <c r="C94" s="7">
        <f>VLOOKUP(A94,PipeN!$B$3:$D$48,3,FALSE)</f>
        <v>711</v>
      </c>
      <c r="D94" s="7"/>
      <c r="E94" s="20">
        <v>550</v>
      </c>
      <c r="F94" s="7" t="str">
        <f>VLOOKUP(E94,PipeN!$B$3:$D$48,2,FALSE)</f>
        <v>22"</v>
      </c>
      <c r="G94" s="7">
        <f>VLOOKUP(E94,PipeN!$B$3:$D$48,3,FALSE)</f>
        <v>559</v>
      </c>
      <c r="H94" s="7"/>
      <c r="I94" s="20"/>
      <c r="J94" s="20">
        <v>521</v>
      </c>
      <c r="K94" s="20">
        <v>495</v>
      </c>
    </row>
    <row r="95" spans="1:11" s="11" customFormat="1" x14ac:dyDescent="0.15">
      <c r="A95" s="20">
        <v>700</v>
      </c>
      <c r="B95" s="7" t="str">
        <f>VLOOKUP(A95,PipeN!$B$3:$D$48,2,FALSE)</f>
        <v>28"</v>
      </c>
      <c r="C95" s="7">
        <f>VLOOKUP(A95,PipeN!$B$3:$D$48,3,FALSE)</f>
        <v>711</v>
      </c>
      <c r="D95" s="7">
        <f>VLOOKUP(A95,PipeN!$B$72:$D$101,3,FALSE)</f>
        <v>720</v>
      </c>
      <c r="E95" s="20">
        <v>500</v>
      </c>
      <c r="F95" s="7" t="str">
        <f>VLOOKUP(E95,PipeN!$B$3:$D$48,2,FALSE)</f>
        <v>20"</v>
      </c>
      <c r="G95" s="7">
        <f>VLOOKUP(E95,PipeN!$B$3:$D$48,3,FALSE)</f>
        <v>508</v>
      </c>
      <c r="H95" s="7">
        <f>VLOOKUP(E95,PipeN!$B$72:$D$101,3,FALSE)</f>
        <v>530</v>
      </c>
      <c r="I95" s="20"/>
      <c r="J95" s="20">
        <v>521</v>
      </c>
      <c r="K95" s="20">
        <v>483</v>
      </c>
    </row>
    <row r="96" spans="1:11" s="11" customFormat="1" x14ac:dyDescent="0.15">
      <c r="A96" s="20">
        <v>700</v>
      </c>
      <c r="B96" s="7" t="str">
        <f>VLOOKUP(A96,PipeN!$B$3:$D$48,2,FALSE)</f>
        <v>28"</v>
      </c>
      <c r="C96" s="7">
        <f>VLOOKUP(A96,PipeN!$B$3:$D$48,3,FALSE)</f>
        <v>711</v>
      </c>
      <c r="D96" s="7">
        <f>VLOOKUP(A96,PipeN!$B$72:$D$101,3,FALSE)</f>
        <v>720</v>
      </c>
      <c r="E96" s="20">
        <v>450</v>
      </c>
      <c r="F96" s="7" t="str">
        <f>VLOOKUP(E96,PipeN!$B$3:$D$48,2,FALSE)</f>
        <v>18"</v>
      </c>
      <c r="G96" s="7">
        <f>VLOOKUP(E96,PipeN!$B$3:$D$48,3,FALSE)</f>
        <v>457</v>
      </c>
      <c r="H96" s="7">
        <f>VLOOKUP(E96,PipeN!$B$72:$D$101,3,FALSE)</f>
        <v>480</v>
      </c>
      <c r="I96" s="20"/>
      <c r="J96" s="20">
        <v>521</v>
      </c>
      <c r="K96" s="20">
        <v>470</v>
      </c>
    </row>
    <row r="97" spans="1:11" s="11" customFormat="1" x14ac:dyDescent="0.15">
      <c r="A97" s="20">
        <v>700</v>
      </c>
      <c r="B97" s="7" t="str">
        <f>VLOOKUP(A97,PipeN!$B$3:$D$48,2,FALSE)</f>
        <v>28"</v>
      </c>
      <c r="C97" s="7">
        <f>VLOOKUP(A97,PipeN!$B$3:$D$48,3,FALSE)</f>
        <v>711</v>
      </c>
      <c r="D97" s="7">
        <f>VLOOKUP(A97,PipeN!$B$72:$D$101,3,FALSE)</f>
        <v>720</v>
      </c>
      <c r="E97" s="20">
        <v>400</v>
      </c>
      <c r="F97" s="7" t="str">
        <f>VLOOKUP(E97,PipeN!$B$3:$D$48,2,FALSE)</f>
        <v>16"</v>
      </c>
      <c r="G97" s="7">
        <f>VLOOKUP(E97,PipeN!$B$3:$D$48,3,FALSE)</f>
        <v>406.4</v>
      </c>
      <c r="H97" s="7">
        <f>VLOOKUP(E97,PipeN!$B$72:$D$101,3,FALSE)</f>
        <v>426</v>
      </c>
      <c r="I97" s="20"/>
      <c r="J97" s="20">
        <v>521</v>
      </c>
      <c r="K97" s="20">
        <v>457</v>
      </c>
    </row>
    <row r="98" spans="1:11" s="11" customFormat="1" x14ac:dyDescent="0.15">
      <c r="A98" s="20">
        <v>700</v>
      </c>
      <c r="B98" s="7" t="str">
        <f>VLOOKUP(A98,PipeN!$B$3:$D$48,2,FALSE)</f>
        <v>28"</v>
      </c>
      <c r="C98" s="7">
        <f>VLOOKUP(A98,PipeN!$B$3:$D$48,3,FALSE)</f>
        <v>711</v>
      </c>
      <c r="D98" s="7">
        <f>VLOOKUP(A98,PipeN!$B$72:$D$101,3,FALSE)</f>
        <v>720</v>
      </c>
      <c r="E98" s="20">
        <v>350</v>
      </c>
      <c r="F98" s="7" t="str">
        <f>VLOOKUP(E98,PipeN!$B$3:$D$48,2,FALSE)</f>
        <v>14"</v>
      </c>
      <c r="G98" s="7">
        <f>VLOOKUP(E98,PipeN!$B$3:$D$48,3,FALSE)</f>
        <v>355.6</v>
      </c>
      <c r="H98" s="7">
        <f>VLOOKUP(E98,PipeN!$B$72:$D$101,3,FALSE)</f>
        <v>377</v>
      </c>
      <c r="I98" s="20"/>
      <c r="J98" s="20">
        <v>521</v>
      </c>
      <c r="K98" s="20">
        <v>457</v>
      </c>
    </row>
    <row r="99" spans="1:11" s="11" customFormat="1" x14ac:dyDescent="0.15">
      <c r="A99" s="20">
        <v>700</v>
      </c>
      <c r="B99" s="7" t="str">
        <f>VLOOKUP(A99,PipeN!$B$3:$D$48,2,FALSE)</f>
        <v>28"</v>
      </c>
      <c r="C99" s="7">
        <f>VLOOKUP(A99,PipeN!$B$3:$D$48,3,FALSE)</f>
        <v>711</v>
      </c>
      <c r="D99" s="7">
        <f>VLOOKUP(A99,PipeN!$B$72:$D$101,3,FALSE)</f>
        <v>720</v>
      </c>
      <c r="E99" s="20">
        <v>300</v>
      </c>
      <c r="F99" s="7" t="str">
        <f>VLOOKUP(E99,PipeN!$B$3:$D$48,2,FALSE)</f>
        <v>12"</v>
      </c>
      <c r="G99" s="7">
        <f>VLOOKUP(E99,PipeN!$B$3:$D$48,3,FALSE)</f>
        <v>323.89999999999998</v>
      </c>
      <c r="H99" s="7">
        <f>VLOOKUP(E99,PipeN!$B$72:$D$101,3,FALSE)</f>
        <v>325</v>
      </c>
      <c r="I99" s="20"/>
      <c r="J99" s="20">
        <v>521</v>
      </c>
      <c r="K99" s="20">
        <v>448</v>
      </c>
    </row>
    <row r="100" spans="1:11" s="11" customFormat="1" x14ac:dyDescent="0.15">
      <c r="A100" s="20">
        <v>750</v>
      </c>
      <c r="B100" s="7" t="str">
        <f>VLOOKUP(A100,PipeN!$B$3:$D$48,2,FALSE)</f>
        <v>30"</v>
      </c>
      <c r="C100" s="7">
        <f>VLOOKUP(A100,PipeN!$B$3:$D$48,3,FALSE)</f>
        <v>762</v>
      </c>
      <c r="D100" s="7"/>
      <c r="E100" s="20">
        <v>700</v>
      </c>
      <c r="F100" s="7" t="str">
        <f>VLOOKUP(E100,PipeN!$B$3:$D$48,2,FALSE)</f>
        <v>28"</v>
      </c>
      <c r="G100" s="7">
        <f>VLOOKUP(E100,PipeN!$B$3:$D$48,3,FALSE)</f>
        <v>711</v>
      </c>
      <c r="H100" s="7"/>
      <c r="I100" s="20"/>
      <c r="J100" s="20">
        <v>559</v>
      </c>
      <c r="K100" s="20">
        <v>546</v>
      </c>
    </row>
    <row r="101" spans="1:11" s="11" customFormat="1" x14ac:dyDescent="0.15">
      <c r="A101" s="20">
        <v>750</v>
      </c>
      <c r="B101" s="7" t="str">
        <f>VLOOKUP(A101,PipeN!$B$3:$D$48,2,FALSE)</f>
        <v>30"</v>
      </c>
      <c r="C101" s="7">
        <f>VLOOKUP(A101,PipeN!$B$3:$D$48,3,FALSE)</f>
        <v>762</v>
      </c>
      <c r="D101" s="7"/>
      <c r="E101" s="20">
        <v>650</v>
      </c>
      <c r="F101" s="7" t="str">
        <f>VLOOKUP(E101,PipeN!$B$3:$D$48,2,FALSE)</f>
        <v>26"</v>
      </c>
      <c r="G101" s="7">
        <f>VLOOKUP(E101,PipeN!$B$3:$D$48,3,FALSE)</f>
        <v>660</v>
      </c>
      <c r="H101" s="7"/>
      <c r="I101" s="20"/>
      <c r="J101" s="20">
        <v>559</v>
      </c>
      <c r="K101" s="20">
        <v>546</v>
      </c>
    </row>
    <row r="102" spans="1:11" s="11" customFormat="1" x14ac:dyDescent="0.15">
      <c r="A102" s="20">
        <v>750</v>
      </c>
      <c r="B102" s="7" t="str">
        <f>VLOOKUP(A102,PipeN!$B$3:$D$48,2,FALSE)</f>
        <v>30"</v>
      </c>
      <c r="C102" s="7">
        <f>VLOOKUP(A102,PipeN!$B$3:$D$48,3,FALSE)</f>
        <v>762</v>
      </c>
      <c r="D102" s="7"/>
      <c r="E102" s="20">
        <v>600</v>
      </c>
      <c r="F102" s="7" t="str">
        <f>VLOOKUP(E102,PipeN!$B$3:$D$48,2,FALSE)</f>
        <v>24"</v>
      </c>
      <c r="G102" s="7">
        <f>VLOOKUP(E102,PipeN!$B$3:$D$48,3,FALSE)</f>
        <v>610</v>
      </c>
      <c r="H102" s="7"/>
      <c r="I102" s="20"/>
      <c r="J102" s="20">
        <v>559</v>
      </c>
      <c r="K102" s="20">
        <v>533</v>
      </c>
    </row>
    <row r="103" spans="1:11" s="11" customFormat="1" x14ac:dyDescent="0.15">
      <c r="A103" s="20">
        <v>750</v>
      </c>
      <c r="B103" s="7" t="str">
        <f>VLOOKUP(A103,PipeN!$B$3:$D$48,2,FALSE)</f>
        <v>30"</v>
      </c>
      <c r="C103" s="7">
        <f>VLOOKUP(A103,PipeN!$B$3:$D$48,3,FALSE)</f>
        <v>762</v>
      </c>
      <c r="D103" s="7"/>
      <c r="E103" s="20">
        <v>550</v>
      </c>
      <c r="F103" s="7" t="str">
        <f>VLOOKUP(E103,PipeN!$B$3:$D$48,2,FALSE)</f>
        <v>22"</v>
      </c>
      <c r="G103" s="7">
        <f>VLOOKUP(E103,PipeN!$B$3:$D$48,3,FALSE)</f>
        <v>559</v>
      </c>
      <c r="H103" s="7"/>
      <c r="I103" s="20"/>
      <c r="J103" s="20">
        <v>559</v>
      </c>
      <c r="K103" s="23">
        <v>521</v>
      </c>
    </row>
    <row r="104" spans="1:11" s="11" customFormat="1" x14ac:dyDescent="0.15">
      <c r="A104" s="20">
        <v>750</v>
      </c>
      <c r="B104" s="7" t="str">
        <f>VLOOKUP(A104,PipeN!$B$3:$D$48,2,FALSE)</f>
        <v>30"</v>
      </c>
      <c r="C104" s="7">
        <f>VLOOKUP(A104,PipeN!$B$3:$D$48,3,FALSE)</f>
        <v>762</v>
      </c>
      <c r="D104" s="7"/>
      <c r="E104" s="20">
        <v>500</v>
      </c>
      <c r="F104" s="7" t="str">
        <f>VLOOKUP(E104,PipeN!$B$3:$D$48,2,FALSE)</f>
        <v>20"</v>
      </c>
      <c r="G104" s="7">
        <f>VLOOKUP(E104,PipeN!$B$3:$D$48,3,FALSE)</f>
        <v>508</v>
      </c>
      <c r="H104" s="7"/>
      <c r="I104" s="20"/>
      <c r="J104" s="20">
        <v>559</v>
      </c>
      <c r="K104" s="20">
        <v>508</v>
      </c>
    </row>
    <row r="105" spans="1:11" s="11" customFormat="1" x14ac:dyDescent="0.15">
      <c r="A105" s="20">
        <v>750</v>
      </c>
      <c r="B105" s="7" t="str">
        <f>VLOOKUP(A105,PipeN!$B$3:$D$48,2,FALSE)</f>
        <v>30"</v>
      </c>
      <c r="C105" s="7">
        <f>VLOOKUP(A105,PipeN!$B$3:$D$48,3,FALSE)</f>
        <v>762</v>
      </c>
      <c r="D105" s="7"/>
      <c r="E105" s="20">
        <v>450</v>
      </c>
      <c r="F105" s="7" t="str">
        <f>VLOOKUP(E105,PipeN!$B$3:$D$48,2,FALSE)</f>
        <v>18"</v>
      </c>
      <c r="G105" s="7">
        <f>VLOOKUP(E105,PipeN!$B$3:$D$48,3,FALSE)</f>
        <v>457</v>
      </c>
      <c r="H105" s="7"/>
      <c r="I105" s="20"/>
      <c r="J105" s="20">
        <v>559</v>
      </c>
      <c r="K105" s="20">
        <v>495</v>
      </c>
    </row>
    <row r="106" spans="1:11" s="11" customFormat="1" x14ac:dyDescent="0.15">
      <c r="A106" s="20">
        <v>750</v>
      </c>
      <c r="B106" s="7" t="str">
        <f>VLOOKUP(A106,PipeN!$B$3:$D$48,2,FALSE)</f>
        <v>30"</v>
      </c>
      <c r="C106" s="7">
        <f>VLOOKUP(A106,PipeN!$B$3:$D$48,3,FALSE)</f>
        <v>762</v>
      </c>
      <c r="D106" s="7"/>
      <c r="E106" s="20">
        <v>400</v>
      </c>
      <c r="F106" s="7" t="str">
        <f>VLOOKUP(E106,PipeN!$B$3:$D$48,2,FALSE)</f>
        <v>16"</v>
      </c>
      <c r="G106" s="7">
        <f>VLOOKUP(E106,PipeN!$B$3:$D$48,3,FALSE)</f>
        <v>406.4</v>
      </c>
      <c r="H106" s="7"/>
      <c r="I106" s="20"/>
      <c r="J106" s="20">
        <v>559</v>
      </c>
      <c r="K106" s="20">
        <v>483</v>
      </c>
    </row>
    <row r="107" spans="1:11" s="11" customFormat="1" x14ac:dyDescent="0.15">
      <c r="A107" s="20">
        <v>750</v>
      </c>
      <c r="B107" s="7" t="str">
        <f>VLOOKUP(A107,PipeN!$B$3:$D$48,2,FALSE)</f>
        <v>30"</v>
      </c>
      <c r="C107" s="7">
        <f>VLOOKUP(A107,PipeN!$B$3:$D$48,3,FALSE)</f>
        <v>762</v>
      </c>
      <c r="D107" s="7"/>
      <c r="E107" s="20">
        <v>350</v>
      </c>
      <c r="F107" s="7" t="str">
        <f>VLOOKUP(E107,PipeN!$B$3:$D$48,2,FALSE)</f>
        <v>14"</v>
      </c>
      <c r="G107" s="7">
        <f>VLOOKUP(E107,PipeN!$B$3:$D$48,3,FALSE)</f>
        <v>355.6</v>
      </c>
      <c r="H107" s="7"/>
      <c r="I107" s="20"/>
      <c r="J107" s="20">
        <v>559</v>
      </c>
      <c r="K107" s="20">
        <v>483</v>
      </c>
    </row>
    <row r="108" spans="1:11" s="11" customFormat="1" x14ac:dyDescent="0.15">
      <c r="A108" s="20">
        <v>750</v>
      </c>
      <c r="B108" s="7" t="str">
        <f>VLOOKUP(A108,PipeN!$B$3:$D$48,2,FALSE)</f>
        <v>30"</v>
      </c>
      <c r="C108" s="7">
        <f>VLOOKUP(A108,PipeN!$B$3:$D$48,3,FALSE)</f>
        <v>762</v>
      </c>
      <c r="D108" s="7"/>
      <c r="E108" s="20">
        <v>300</v>
      </c>
      <c r="F108" s="7" t="str">
        <f>VLOOKUP(E108,PipeN!$B$3:$D$48,2,FALSE)</f>
        <v>12"</v>
      </c>
      <c r="G108" s="7">
        <f>VLOOKUP(E108,PipeN!$B$3:$D$48,3,FALSE)</f>
        <v>323.89999999999998</v>
      </c>
      <c r="H108" s="7"/>
      <c r="I108" s="20"/>
      <c r="J108" s="20">
        <v>559</v>
      </c>
      <c r="K108" s="20">
        <v>473</v>
      </c>
    </row>
    <row r="109" spans="1:11" s="11" customFormat="1" x14ac:dyDescent="0.15">
      <c r="A109" s="20">
        <v>750</v>
      </c>
      <c r="B109" s="7" t="str">
        <f>VLOOKUP(A109,PipeN!$B$3:$D$48,2,FALSE)</f>
        <v>30"</v>
      </c>
      <c r="C109" s="7">
        <f>VLOOKUP(A109,PipeN!$B$3:$D$48,3,FALSE)</f>
        <v>762</v>
      </c>
      <c r="D109" s="7"/>
      <c r="E109" s="20">
        <v>250</v>
      </c>
      <c r="F109" s="7" t="str">
        <f>VLOOKUP(E109,PipeN!$B$3:$D$48,2,FALSE)</f>
        <v>10"</v>
      </c>
      <c r="G109" s="7">
        <f>VLOOKUP(E109,PipeN!$B$3:$D$48,3,FALSE)</f>
        <v>273</v>
      </c>
      <c r="H109" s="7"/>
      <c r="I109" s="20"/>
      <c r="J109" s="20">
        <v>559</v>
      </c>
      <c r="K109" s="20">
        <v>460</v>
      </c>
    </row>
    <row r="110" spans="1:11" s="11" customFormat="1" x14ac:dyDescent="0.15">
      <c r="A110" s="20">
        <v>800</v>
      </c>
      <c r="B110" s="7" t="str">
        <f>VLOOKUP(A110,PipeN!$B$3:$D$48,2,FALSE)</f>
        <v>32"</v>
      </c>
      <c r="C110" s="7">
        <f>VLOOKUP(A110,PipeN!$B$3:$D$48,3,FALSE)</f>
        <v>813</v>
      </c>
      <c r="D110" s="7"/>
      <c r="E110" s="20">
        <v>750</v>
      </c>
      <c r="F110" s="7" t="str">
        <f>VLOOKUP(E110,PipeN!$B$3:$D$48,2,FALSE)</f>
        <v>30"</v>
      </c>
      <c r="G110" s="7">
        <f>VLOOKUP(E110,PipeN!$B$3:$D$48,3,FALSE)</f>
        <v>762</v>
      </c>
      <c r="H110" s="7"/>
      <c r="I110" s="20"/>
      <c r="J110" s="20">
        <v>597</v>
      </c>
      <c r="K110" s="20">
        <v>584</v>
      </c>
    </row>
    <row r="111" spans="1:11" s="11" customFormat="1" x14ac:dyDescent="0.15">
      <c r="A111" s="20">
        <v>800</v>
      </c>
      <c r="B111" s="7" t="str">
        <f>VLOOKUP(A111,PipeN!$B$3:$D$48,2,FALSE)</f>
        <v>32"</v>
      </c>
      <c r="C111" s="7">
        <f>VLOOKUP(A111,PipeN!$B$3:$D$48,3,FALSE)</f>
        <v>813</v>
      </c>
      <c r="D111" s="7">
        <f>VLOOKUP(A111,PipeN!$B$72:$D$101,3,FALSE)</f>
        <v>820</v>
      </c>
      <c r="E111" s="20">
        <v>700</v>
      </c>
      <c r="F111" s="7" t="str">
        <f>VLOOKUP(E111,PipeN!$B$3:$D$48,2,FALSE)</f>
        <v>28"</v>
      </c>
      <c r="G111" s="7">
        <f>VLOOKUP(E111,PipeN!$B$3:$D$48,3,FALSE)</f>
        <v>711</v>
      </c>
      <c r="H111" s="7">
        <f>VLOOKUP(E111,PipeN!$B$72:$D$101,3,FALSE)</f>
        <v>720</v>
      </c>
      <c r="I111" s="20"/>
      <c r="J111" s="20">
        <v>597</v>
      </c>
      <c r="K111" s="20">
        <v>572</v>
      </c>
    </row>
    <row r="112" spans="1:11" s="11" customFormat="1" x14ac:dyDescent="0.15">
      <c r="A112" s="20">
        <v>800</v>
      </c>
      <c r="B112" s="7" t="str">
        <f>VLOOKUP(A112,PipeN!$B$3:$D$48,2,FALSE)</f>
        <v>32"</v>
      </c>
      <c r="C112" s="7">
        <f>VLOOKUP(A112,PipeN!$B$3:$D$48,3,FALSE)</f>
        <v>813</v>
      </c>
      <c r="D112" s="7"/>
      <c r="E112" s="20">
        <v>650</v>
      </c>
      <c r="F112" s="7" t="str">
        <f>VLOOKUP(E112,PipeN!$B$3:$D$48,2,FALSE)</f>
        <v>26"</v>
      </c>
      <c r="G112" s="7">
        <f>VLOOKUP(E112,PipeN!$B$3:$D$48,3,FALSE)</f>
        <v>660</v>
      </c>
      <c r="H112" s="7"/>
      <c r="I112" s="20"/>
      <c r="J112" s="20">
        <v>597</v>
      </c>
      <c r="K112" s="20">
        <v>572</v>
      </c>
    </row>
    <row r="113" spans="1:11" s="11" customFormat="1" x14ac:dyDescent="0.15">
      <c r="A113" s="20">
        <v>800</v>
      </c>
      <c r="B113" s="7" t="str">
        <f>VLOOKUP(A113,PipeN!$B$3:$D$48,2,FALSE)</f>
        <v>32"</v>
      </c>
      <c r="C113" s="7">
        <f>VLOOKUP(A113,PipeN!$B$3:$D$48,3,FALSE)</f>
        <v>813</v>
      </c>
      <c r="D113" s="7">
        <f>VLOOKUP(A113,PipeN!$B$72:$D$101,3,FALSE)</f>
        <v>820</v>
      </c>
      <c r="E113" s="20">
        <v>600</v>
      </c>
      <c r="F113" s="7" t="str">
        <f>VLOOKUP(E113,PipeN!$B$3:$D$48,2,FALSE)</f>
        <v>24"</v>
      </c>
      <c r="G113" s="7">
        <f>VLOOKUP(E113,PipeN!$B$3:$D$48,3,FALSE)</f>
        <v>610</v>
      </c>
      <c r="H113" s="7">
        <f>VLOOKUP(E113,PipeN!$B$72:$D$101,3,FALSE)</f>
        <v>630</v>
      </c>
      <c r="I113" s="20"/>
      <c r="J113" s="20">
        <v>597</v>
      </c>
      <c r="K113" s="20">
        <v>559</v>
      </c>
    </row>
    <row r="114" spans="1:11" s="11" customFormat="1" x14ac:dyDescent="0.15">
      <c r="A114" s="20">
        <v>800</v>
      </c>
      <c r="B114" s="7" t="str">
        <f>VLOOKUP(A114,PipeN!$B$3:$D$48,2,FALSE)</f>
        <v>32"</v>
      </c>
      <c r="C114" s="7">
        <f>VLOOKUP(A114,PipeN!$B$3:$D$48,3,FALSE)</f>
        <v>813</v>
      </c>
      <c r="D114" s="7"/>
      <c r="E114" s="20">
        <v>550</v>
      </c>
      <c r="F114" s="7" t="str">
        <f>VLOOKUP(E114,PipeN!$B$3:$D$48,2,FALSE)</f>
        <v>22"</v>
      </c>
      <c r="G114" s="7">
        <f>VLOOKUP(E114,PipeN!$B$3:$D$48,3,FALSE)</f>
        <v>559</v>
      </c>
      <c r="H114" s="7"/>
      <c r="I114" s="20"/>
      <c r="J114" s="20">
        <v>597</v>
      </c>
      <c r="K114" s="20">
        <v>546</v>
      </c>
    </row>
    <row r="115" spans="1:11" s="11" customFormat="1" x14ac:dyDescent="0.15">
      <c r="A115" s="20">
        <v>800</v>
      </c>
      <c r="B115" s="7" t="str">
        <f>VLOOKUP(A115,PipeN!$B$3:$D$48,2,FALSE)</f>
        <v>32"</v>
      </c>
      <c r="C115" s="7">
        <f>VLOOKUP(A115,PipeN!$B$3:$D$48,3,FALSE)</f>
        <v>813</v>
      </c>
      <c r="D115" s="7">
        <f>VLOOKUP(A115,PipeN!$B$72:$D$101,3,FALSE)</f>
        <v>820</v>
      </c>
      <c r="E115" s="20">
        <v>500</v>
      </c>
      <c r="F115" s="7" t="str">
        <f>VLOOKUP(E115,PipeN!$B$3:$D$48,2,FALSE)</f>
        <v>20"</v>
      </c>
      <c r="G115" s="7">
        <f>VLOOKUP(E115,PipeN!$B$3:$D$48,3,FALSE)</f>
        <v>508</v>
      </c>
      <c r="H115" s="7">
        <f>VLOOKUP(E115,PipeN!$B$72:$D$101,3,FALSE)</f>
        <v>530</v>
      </c>
      <c r="I115" s="20"/>
      <c r="J115" s="20">
        <v>597</v>
      </c>
      <c r="K115" s="20">
        <v>533</v>
      </c>
    </row>
    <row r="116" spans="1:11" s="11" customFormat="1" x14ac:dyDescent="0.15">
      <c r="A116" s="20">
        <v>800</v>
      </c>
      <c r="B116" s="7" t="str">
        <f>VLOOKUP(A116,PipeN!$B$3:$D$48,2,FALSE)</f>
        <v>32"</v>
      </c>
      <c r="C116" s="7">
        <f>VLOOKUP(A116,PipeN!$B$3:$D$48,3,FALSE)</f>
        <v>813</v>
      </c>
      <c r="D116" s="7">
        <f>VLOOKUP(A116,PipeN!$B$72:$D$101,3,FALSE)</f>
        <v>820</v>
      </c>
      <c r="E116" s="20">
        <v>450</v>
      </c>
      <c r="F116" s="7" t="str">
        <f>VLOOKUP(E116,PipeN!$B$3:$D$48,2,FALSE)</f>
        <v>18"</v>
      </c>
      <c r="G116" s="7">
        <f>VLOOKUP(E116,PipeN!$B$3:$D$48,3,FALSE)</f>
        <v>457</v>
      </c>
      <c r="H116" s="7">
        <f>VLOOKUP(E116,PipeN!$B$72:$D$101,3,FALSE)</f>
        <v>480</v>
      </c>
      <c r="I116" s="20"/>
      <c r="J116" s="20">
        <v>597</v>
      </c>
      <c r="K116" s="20">
        <v>521</v>
      </c>
    </row>
    <row r="117" spans="1:11" s="11" customFormat="1" x14ac:dyDescent="0.15">
      <c r="A117" s="20">
        <v>800</v>
      </c>
      <c r="B117" s="7" t="str">
        <f>VLOOKUP(A117,PipeN!$B$3:$D$48,2,FALSE)</f>
        <v>32"</v>
      </c>
      <c r="C117" s="7">
        <f>VLOOKUP(A117,PipeN!$B$3:$D$48,3,FALSE)</f>
        <v>813</v>
      </c>
      <c r="D117" s="7">
        <f>VLOOKUP(A117,PipeN!$B$72:$D$101,3,FALSE)</f>
        <v>820</v>
      </c>
      <c r="E117" s="20">
        <v>400</v>
      </c>
      <c r="F117" s="7" t="str">
        <f>VLOOKUP(E117,PipeN!$B$3:$D$48,2,FALSE)</f>
        <v>16"</v>
      </c>
      <c r="G117" s="7">
        <f>VLOOKUP(E117,PipeN!$B$3:$D$48,3,FALSE)</f>
        <v>406.4</v>
      </c>
      <c r="H117" s="7">
        <f>VLOOKUP(E117,PipeN!$B$72:$D$101,3,FALSE)</f>
        <v>426</v>
      </c>
      <c r="I117" s="20"/>
      <c r="J117" s="20">
        <v>597</v>
      </c>
      <c r="K117" s="20">
        <v>508</v>
      </c>
    </row>
    <row r="118" spans="1:11" s="11" customFormat="1" x14ac:dyDescent="0.15">
      <c r="A118" s="20">
        <v>800</v>
      </c>
      <c r="B118" s="7" t="str">
        <f>VLOOKUP(A118,PipeN!$B$3:$D$48,2,FALSE)</f>
        <v>32"</v>
      </c>
      <c r="C118" s="7">
        <f>VLOOKUP(A118,PipeN!$B$3:$D$48,3,FALSE)</f>
        <v>813</v>
      </c>
      <c r="D118" s="7">
        <f>VLOOKUP(A118,PipeN!$B$72:$D$101,3,FALSE)</f>
        <v>820</v>
      </c>
      <c r="E118" s="20">
        <v>350</v>
      </c>
      <c r="F118" s="7" t="str">
        <f>VLOOKUP(E118,PipeN!$B$3:$D$48,2,FALSE)</f>
        <v>14"</v>
      </c>
      <c r="G118" s="7">
        <f>VLOOKUP(E118,PipeN!$B$3:$D$48,3,FALSE)</f>
        <v>355.6</v>
      </c>
      <c r="H118" s="7"/>
      <c r="I118" s="20"/>
      <c r="J118" s="20">
        <v>597</v>
      </c>
      <c r="K118" s="20">
        <v>508</v>
      </c>
    </row>
    <row r="119" spans="1:11" s="11" customFormat="1" x14ac:dyDescent="0.15">
      <c r="A119" s="20">
        <v>850</v>
      </c>
      <c r="B119" s="7" t="str">
        <f>VLOOKUP(A119,PipeN!$B$3:$D$48,2,FALSE)</f>
        <v>34"</v>
      </c>
      <c r="C119" s="7">
        <f>VLOOKUP(A119,PipeN!$B$3:$D$48,3,FALSE)</f>
        <v>864</v>
      </c>
      <c r="D119" s="7"/>
      <c r="E119" s="20">
        <v>800</v>
      </c>
      <c r="F119" s="7" t="str">
        <f>VLOOKUP(E119,PipeN!$B$3:$D$48,2,FALSE)</f>
        <v>32"</v>
      </c>
      <c r="G119" s="7">
        <f>VLOOKUP(E119,PipeN!$B$3:$D$48,3,FALSE)</f>
        <v>813</v>
      </c>
      <c r="H119" s="7"/>
      <c r="I119" s="20"/>
      <c r="J119" s="20">
        <v>635</v>
      </c>
      <c r="K119" s="20">
        <v>622</v>
      </c>
    </row>
    <row r="120" spans="1:11" s="11" customFormat="1" x14ac:dyDescent="0.15">
      <c r="A120" s="20">
        <v>850</v>
      </c>
      <c r="B120" s="7" t="str">
        <f>VLOOKUP(A120,PipeN!$B$3:$D$48,2,FALSE)</f>
        <v>34"</v>
      </c>
      <c r="C120" s="7">
        <f>VLOOKUP(A120,PipeN!$B$3:$D$48,3,FALSE)</f>
        <v>864</v>
      </c>
      <c r="D120" s="7"/>
      <c r="E120" s="20">
        <v>750</v>
      </c>
      <c r="F120" s="7" t="str">
        <f>VLOOKUP(E120,PipeN!$B$3:$D$48,2,FALSE)</f>
        <v>30"</v>
      </c>
      <c r="G120" s="7">
        <f>VLOOKUP(E120,PipeN!$B$3:$D$48,3,FALSE)</f>
        <v>762</v>
      </c>
      <c r="H120" s="7"/>
      <c r="I120" s="20"/>
      <c r="J120" s="20">
        <v>635</v>
      </c>
      <c r="K120" s="20">
        <v>610</v>
      </c>
    </row>
    <row r="121" spans="1:11" s="11" customFormat="1" x14ac:dyDescent="0.15">
      <c r="A121" s="20">
        <v>850</v>
      </c>
      <c r="B121" s="7" t="str">
        <f>VLOOKUP(A121,PipeN!$B$3:$D$48,2,FALSE)</f>
        <v>34"</v>
      </c>
      <c r="C121" s="7">
        <f>VLOOKUP(A121,PipeN!$B$3:$D$48,3,FALSE)</f>
        <v>864</v>
      </c>
      <c r="D121" s="7"/>
      <c r="E121" s="20">
        <v>700</v>
      </c>
      <c r="F121" s="7" t="str">
        <f>VLOOKUP(E121,PipeN!$B$3:$D$48,2,FALSE)</f>
        <v>28"</v>
      </c>
      <c r="G121" s="7">
        <f>VLOOKUP(E121,PipeN!$B$3:$D$48,3,FALSE)</f>
        <v>711</v>
      </c>
      <c r="H121" s="7"/>
      <c r="I121" s="20"/>
      <c r="J121" s="20">
        <v>635</v>
      </c>
      <c r="K121" s="20">
        <v>597</v>
      </c>
    </row>
    <row r="122" spans="1:11" s="11" customFormat="1" x14ac:dyDescent="0.15">
      <c r="A122" s="20">
        <v>850</v>
      </c>
      <c r="B122" s="7" t="str">
        <f>VLOOKUP(A122,PipeN!$B$3:$D$48,2,FALSE)</f>
        <v>34"</v>
      </c>
      <c r="C122" s="7">
        <f>VLOOKUP(A122,PipeN!$B$3:$D$48,3,FALSE)</f>
        <v>864</v>
      </c>
      <c r="D122" s="7"/>
      <c r="E122" s="20">
        <v>650</v>
      </c>
      <c r="F122" s="7" t="str">
        <f>VLOOKUP(E122,PipeN!$B$3:$D$48,2,FALSE)</f>
        <v>26"</v>
      </c>
      <c r="G122" s="7">
        <f>VLOOKUP(E122,PipeN!$B$3:$D$48,3,FALSE)</f>
        <v>660</v>
      </c>
      <c r="H122" s="7"/>
      <c r="I122" s="20"/>
      <c r="J122" s="20">
        <v>635</v>
      </c>
      <c r="K122" s="20">
        <v>597</v>
      </c>
    </row>
    <row r="123" spans="1:11" s="11" customFormat="1" x14ac:dyDescent="0.15">
      <c r="A123" s="20">
        <v>850</v>
      </c>
      <c r="B123" s="7" t="str">
        <f>VLOOKUP(A123,PipeN!$B$3:$D$48,2,FALSE)</f>
        <v>34"</v>
      </c>
      <c r="C123" s="7">
        <f>VLOOKUP(A123,PipeN!$B$3:$D$48,3,FALSE)</f>
        <v>864</v>
      </c>
      <c r="D123" s="7"/>
      <c r="E123" s="20">
        <v>600</v>
      </c>
      <c r="F123" s="7" t="str">
        <f>VLOOKUP(E123,PipeN!$B$3:$D$48,2,FALSE)</f>
        <v>24"</v>
      </c>
      <c r="G123" s="7">
        <f>VLOOKUP(E123,PipeN!$B$3:$D$48,3,FALSE)</f>
        <v>610</v>
      </c>
      <c r="H123" s="7"/>
      <c r="I123" s="20"/>
      <c r="J123" s="20">
        <v>635</v>
      </c>
      <c r="K123" s="20">
        <v>584</v>
      </c>
    </row>
    <row r="124" spans="1:11" s="11" customFormat="1" x14ac:dyDescent="0.15">
      <c r="A124" s="20">
        <v>850</v>
      </c>
      <c r="B124" s="7" t="str">
        <f>VLOOKUP(A124,PipeN!$B$3:$D$48,2,FALSE)</f>
        <v>34"</v>
      </c>
      <c r="C124" s="7">
        <f>VLOOKUP(A124,PipeN!$B$3:$D$48,3,FALSE)</f>
        <v>864</v>
      </c>
      <c r="D124" s="7"/>
      <c r="E124" s="20">
        <v>550</v>
      </c>
      <c r="F124" s="7" t="str">
        <f>VLOOKUP(E124,PipeN!$B$3:$D$48,2,FALSE)</f>
        <v>22"</v>
      </c>
      <c r="G124" s="7">
        <f>VLOOKUP(E124,PipeN!$B$3:$D$48,3,FALSE)</f>
        <v>559</v>
      </c>
      <c r="H124" s="7"/>
      <c r="I124" s="20"/>
      <c r="J124" s="20">
        <v>635</v>
      </c>
      <c r="K124" s="20">
        <v>572</v>
      </c>
    </row>
    <row r="125" spans="1:11" s="11" customFormat="1" x14ac:dyDescent="0.15">
      <c r="A125" s="20">
        <v>850</v>
      </c>
      <c r="B125" s="7" t="str">
        <f>VLOOKUP(A125,PipeN!$B$3:$D$48,2,FALSE)</f>
        <v>34"</v>
      </c>
      <c r="C125" s="7">
        <f>VLOOKUP(A125,PipeN!$B$3:$D$48,3,FALSE)</f>
        <v>864</v>
      </c>
      <c r="D125" s="7"/>
      <c r="E125" s="20">
        <v>500</v>
      </c>
      <c r="F125" s="7" t="str">
        <f>VLOOKUP(E125,PipeN!$B$3:$D$48,2,FALSE)</f>
        <v>20"</v>
      </c>
      <c r="G125" s="7">
        <f>VLOOKUP(E125,PipeN!$B$3:$D$48,3,FALSE)</f>
        <v>508</v>
      </c>
      <c r="H125" s="7"/>
      <c r="I125" s="20"/>
      <c r="J125" s="20">
        <v>635</v>
      </c>
      <c r="K125" s="20">
        <v>559</v>
      </c>
    </row>
    <row r="126" spans="1:11" s="11" customFormat="1" x14ac:dyDescent="0.15">
      <c r="A126" s="20">
        <v>850</v>
      </c>
      <c r="B126" s="7" t="str">
        <f>VLOOKUP(A126,PipeN!$B$3:$D$48,2,FALSE)</f>
        <v>34"</v>
      </c>
      <c r="C126" s="7">
        <f>VLOOKUP(A126,PipeN!$B$3:$D$48,3,FALSE)</f>
        <v>864</v>
      </c>
      <c r="D126" s="7"/>
      <c r="E126" s="20">
        <v>450</v>
      </c>
      <c r="F126" s="7" t="str">
        <f>VLOOKUP(E126,PipeN!$B$3:$D$48,2,FALSE)</f>
        <v>18"</v>
      </c>
      <c r="G126" s="7">
        <f>VLOOKUP(E126,PipeN!$B$3:$D$48,3,FALSE)</f>
        <v>457</v>
      </c>
      <c r="H126" s="7"/>
      <c r="I126" s="20"/>
      <c r="J126" s="20">
        <v>635</v>
      </c>
      <c r="K126" s="20">
        <v>546</v>
      </c>
    </row>
    <row r="127" spans="1:11" s="11" customFormat="1" x14ac:dyDescent="0.15">
      <c r="A127" s="20">
        <v>850</v>
      </c>
      <c r="B127" s="7" t="str">
        <f>VLOOKUP(A127,PipeN!$B$3:$D$48,2,FALSE)</f>
        <v>34"</v>
      </c>
      <c r="C127" s="7">
        <f>VLOOKUP(A127,PipeN!$B$3:$D$48,3,FALSE)</f>
        <v>864</v>
      </c>
      <c r="D127" s="7"/>
      <c r="E127" s="20">
        <v>400</v>
      </c>
      <c r="F127" s="7" t="str">
        <f>VLOOKUP(E127,PipeN!$B$3:$D$48,2,FALSE)</f>
        <v>16"</v>
      </c>
      <c r="G127" s="7">
        <f>VLOOKUP(E127,PipeN!$B$3:$D$48,3,FALSE)</f>
        <v>406.4</v>
      </c>
      <c r="H127" s="7"/>
      <c r="I127" s="20"/>
      <c r="J127" s="20">
        <v>635</v>
      </c>
      <c r="K127" s="20">
        <v>533</v>
      </c>
    </row>
    <row r="128" spans="1:11" s="11" customFormat="1" x14ac:dyDescent="0.15">
      <c r="A128" s="20">
        <v>900</v>
      </c>
      <c r="B128" s="7" t="str">
        <f>VLOOKUP(A128,PipeN!$B$3:$D$48,2,FALSE)</f>
        <v>36"</v>
      </c>
      <c r="C128" s="7">
        <f>VLOOKUP(A128,PipeN!$B$3:$D$48,3,FALSE)</f>
        <v>914</v>
      </c>
      <c r="D128" s="7"/>
      <c r="E128" s="20">
        <v>850</v>
      </c>
      <c r="F128" s="7" t="str">
        <f>VLOOKUP(E128,PipeN!$B$3:$D$48,2,FALSE)</f>
        <v>34"</v>
      </c>
      <c r="G128" s="7">
        <f>VLOOKUP(E128,PipeN!$B$3:$D$48,3,FALSE)</f>
        <v>864</v>
      </c>
      <c r="H128" s="7"/>
      <c r="I128" s="20"/>
      <c r="J128" s="20">
        <v>673</v>
      </c>
      <c r="K128" s="20">
        <v>660</v>
      </c>
    </row>
    <row r="129" spans="1:11" s="11" customFormat="1" x14ac:dyDescent="0.15">
      <c r="A129" s="20">
        <v>900</v>
      </c>
      <c r="B129" s="7" t="str">
        <f>VLOOKUP(A129,PipeN!$B$3:$D$48,2,FALSE)</f>
        <v>36"</v>
      </c>
      <c r="C129" s="7">
        <f>VLOOKUP(A129,PipeN!$B$3:$D$48,3,FALSE)</f>
        <v>914</v>
      </c>
      <c r="D129" s="7"/>
      <c r="E129" s="20">
        <v>800</v>
      </c>
      <c r="F129" s="7" t="str">
        <f>VLOOKUP(E129,PipeN!$B$3:$D$48,2,FALSE)</f>
        <v>32"</v>
      </c>
      <c r="G129" s="7">
        <f>VLOOKUP(E129,PipeN!$B$3:$D$48,3,FALSE)</f>
        <v>813</v>
      </c>
      <c r="H129" s="7"/>
      <c r="I129" s="20"/>
      <c r="J129" s="20">
        <v>673</v>
      </c>
      <c r="K129" s="20">
        <v>648</v>
      </c>
    </row>
    <row r="130" spans="1:11" s="11" customFormat="1" x14ac:dyDescent="0.15">
      <c r="A130" s="20">
        <v>900</v>
      </c>
      <c r="B130" s="7" t="str">
        <f>VLOOKUP(A130,PipeN!$B$3:$D$48,2,FALSE)</f>
        <v>36"</v>
      </c>
      <c r="C130" s="7">
        <f>VLOOKUP(A130,PipeN!$B$3:$D$48,3,FALSE)</f>
        <v>914</v>
      </c>
      <c r="D130" s="7"/>
      <c r="E130" s="20">
        <v>750</v>
      </c>
      <c r="F130" s="7" t="str">
        <f>VLOOKUP(E130,PipeN!$B$3:$D$48,2,FALSE)</f>
        <v>30"</v>
      </c>
      <c r="G130" s="7">
        <f>VLOOKUP(E130,PipeN!$B$3:$D$48,3,FALSE)</f>
        <v>762</v>
      </c>
      <c r="H130" s="7"/>
      <c r="I130" s="20"/>
      <c r="J130" s="20">
        <v>673</v>
      </c>
      <c r="K130" s="20">
        <v>635</v>
      </c>
    </row>
    <row r="131" spans="1:11" s="11" customFormat="1" x14ac:dyDescent="0.15">
      <c r="A131" s="20">
        <v>900</v>
      </c>
      <c r="B131" s="7" t="str">
        <f>VLOOKUP(A131,PipeN!$B$3:$D$48,2,FALSE)</f>
        <v>36"</v>
      </c>
      <c r="C131" s="7">
        <f>VLOOKUP(A131,PipeN!$B$3:$D$48,3,FALSE)</f>
        <v>914</v>
      </c>
      <c r="D131" s="7"/>
      <c r="E131" s="20">
        <v>700</v>
      </c>
      <c r="F131" s="7" t="str">
        <f>VLOOKUP(E131,PipeN!$B$3:$D$48,2,FALSE)</f>
        <v>28"</v>
      </c>
      <c r="G131" s="7">
        <f>VLOOKUP(E131,PipeN!$B$3:$D$48,3,FALSE)</f>
        <v>711</v>
      </c>
      <c r="H131" s="7"/>
      <c r="I131" s="20"/>
      <c r="J131" s="20">
        <v>673</v>
      </c>
      <c r="K131" s="20">
        <v>622</v>
      </c>
    </row>
    <row r="132" spans="1:11" s="11" customFormat="1" x14ac:dyDescent="0.15">
      <c r="A132" s="20">
        <v>900</v>
      </c>
      <c r="B132" s="7" t="str">
        <f>VLOOKUP(A132,PipeN!$B$3:$D$48,2,FALSE)</f>
        <v>36"</v>
      </c>
      <c r="C132" s="7">
        <f>VLOOKUP(A132,PipeN!$B$3:$D$48,3,FALSE)</f>
        <v>914</v>
      </c>
      <c r="D132" s="7"/>
      <c r="E132" s="20">
        <v>650</v>
      </c>
      <c r="F132" s="7" t="str">
        <f>VLOOKUP(E132,PipeN!$B$3:$D$48,2,FALSE)</f>
        <v>26"</v>
      </c>
      <c r="G132" s="7">
        <f>VLOOKUP(E132,PipeN!$B$3:$D$48,3,FALSE)</f>
        <v>660</v>
      </c>
      <c r="H132" s="7"/>
      <c r="I132" s="20"/>
      <c r="J132" s="20">
        <v>673</v>
      </c>
      <c r="K132" s="20">
        <v>622</v>
      </c>
    </row>
    <row r="133" spans="1:11" s="11" customFormat="1" x14ac:dyDescent="0.15">
      <c r="A133" s="20">
        <v>900</v>
      </c>
      <c r="B133" s="7" t="str">
        <f>VLOOKUP(A133,PipeN!$B$3:$D$48,2,FALSE)</f>
        <v>36"</v>
      </c>
      <c r="C133" s="7">
        <f>VLOOKUP(A133,PipeN!$B$3:$D$48,3,FALSE)</f>
        <v>914</v>
      </c>
      <c r="D133" s="7"/>
      <c r="E133" s="20">
        <v>600</v>
      </c>
      <c r="F133" s="7" t="str">
        <f>VLOOKUP(E133,PipeN!$B$3:$D$48,2,FALSE)</f>
        <v>24"</v>
      </c>
      <c r="G133" s="7">
        <f>VLOOKUP(E133,PipeN!$B$3:$D$48,3,FALSE)</f>
        <v>610</v>
      </c>
      <c r="H133" s="7"/>
      <c r="I133" s="20"/>
      <c r="J133" s="20">
        <v>673</v>
      </c>
      <c r="K133" s="20">
        <v>610</v>
      </c>
    </row>
    <row r="134" spans="1:11" s="11" customFormat="1" x14ac:dyDescent="0.15">
      <c r="A134" s="20">
        <v>900</v>
      </c>
      <c r="B134" s="7" t="str">
        <f>VLOOKUP(A134,PipeN!$B$3:$D$48,2,FALSE)</f>
        <v>36"</v>
      </c>
      <c r="C134" s="7">
        <f>VLOOKUP(A134,PipeN!$B$3:$D$48,3,FALSE)</f>
        <v>914</v>
      </c>
      <c r="D134" s="7"/>
      <c r="E134" s="20">
        <v>550</v>
      </c>
      <c r="F134" s="7" t="str">
        <f>VLOOKUP(E134,PipeN!$B$3:$D$48,2,FALSE)</f>
        <v>22"</v>
      </c>
      <c r="G134" s="7">
        <f>VLOOKUP(E134,PipeN!$B$3:$D$48,3,FALSE)</f>
        <v>559</v>
      </c>
      <c r="H134" s="7"/>
      <c r="I134" s="20"/>
      <c r="J134" s="20">
        <v>673</v>
      </c>
      <c r="K134" s="20">
        <v>597</v>
      </c>
    </row>
    <row r="135" spans="1:11" s="11" customFormat="1" x14ac:dyDescent="0.15">
      <c r="A135" s="20">
        <v>900</v>
      </c>
      <c r="B135" s="7" t="str">
        <f>VLOOKUP(A135,PipeN!$B$3:$D$48,2,FALSE)</f>
        <v>36"</v>
      </c>
      <c r="C135" s="7">
        <f>VLOOKUP(A135,PipeN!$B$3:$D$48,3,FALSE)</f>
        <v>914</v>
      </c>
      <c r="D135" s="7"/>
      <c r="E135" s="20">
        <v>500</v>
      </c>
      <c r="F135" s="7" t="str">
        <f>VLOOKUP(E135,PipeN!$B$3:$D$48,2,FALSE)</f>
        <v>20"</v>
      </c>
      <c r="G135" s="7">
        <f>VLOOKUP(E135,PipeN!$B$3:$D$48,3,FALSE)</f>
        <v>508</v>
      </c>
      <c r="H135" s="7"/>
      <c r="I135" s="20"/>
      <c r="J135" s="20">
        <v>673</v>
      </c>
      <c r="K135" s="20">
        <v>584</v>
      </c>
    </row>
    <row r="136" spans="1:11" s="11" customFormat="1" x14ac:dyDescent="0.15">
      <c r="A136" s="20">
        <v>900</v>
      </c>
      <c r="B136" s="7" t="str">
        <f>VLOOKUP(A136,PipeN!$B$3:$D$48,2,FALSE)</f>
        <v>36"</v>
      </c>
      <c r="C136" s="7">
        <f>VLOOKUP(A136,PipeN!$B$3:$D$48,3,FALSE)</f>
        <v>914</v>
      </c>
      <c r="D136" s="7"/>
      <c r="E136" s="20">
        <v>450</v>
      </c>
      <c r="F136" s="7" t="str">
        <f>VLOOKUP(E136,PipeN!$B$3:$D$48,2,FALSE)</f>
        <v>18"</v>
      </c>
      <c r="G136" s="7">
        <f>VLOOKUP(E136,PipeN!$B$3:$D$48,3,FALSE)</f>
        <v>457</v>
      </c>
      <c r="H136" s="7"/>
      <c r="I136" s="20"/>
      <c r="J136" s="20">
        <v>673</v>
      </c>
      <c r="K136" s="20">
        <v>572</v>
      </c>
    </row>
    <row r="137" spans="1:11" x14ac:dyDescent="0.15">
      <c r="A137" s="20">
        <v>900</v>
      </c>
      <c r="B137" s="7" t="str">
        <f>VLOOKUP(A137,PipeN!$B$3:$D$48,2,FALSE)</f>
        <v>36"</v>
      </c>
      <c r="C137" s="7">
        <f>VLOOKUP(A137,PipeN!$B$3:$D$48,3,FALSE)</f>
        <v>914</v>
      </c>
      <c r="D137" s="7"/>
      <c r="E137" s="20">
        <v>400</v>
      </c>
      <c r="F137" s="7" t="str">
        <f>VLOOKUP(E137,PipeN!$B$3:$D$48,2,FALSE)</f>
        <v>16"</v>
      </c>
      <c r="G137" s="7">
        <f>VLOOKUP(E137,PipeN!$B$3:$D$48,3,FALSE)</f>
        <v>406.4</v>
      </c>
      <c r="H137" s="7"/>
      <c r="I137" s="20"/>
      <c r="J137" s="20">
        <v>673</v>
      </c>
      <c r="K137" s="20">
        <v>559</v>
      </c>
    </row>
    <row r="138" spans="1:11" x14ac:dyDescent="0.15">
      <c r="A138" s="20">
        <v>950</v>
      </c>
      <c r="B138" s="7" t="str">
        <f>VLOOKUP(A138,PipeN!$B$3:$D$48,2,FALSE)</f>
        <v>38"</v>
      </c>
      <c r="C138" s="7">
        <f>VLOOKUP(A138,PipeN!$B$3:$D$48,3,FALSE)</f>
        <v>955</v>
      </c>
      <c r="D138" s="7"/>
      <c r="E138" s="20">
        <v>900</v>
      </c>
      <c r="F138" s="7" t="str">
        <f>VLOOKUP(E138,PipeN!$B$3:$D$48,2,FALSE)</f>
        <v>36"</v>
      </c>
      <c r="G138" s="7">
        <f>VLOOKUP(E138,PipeN!$B$3:$D$48,3,FALSE)</f>
        <v>914</v>
      </c>
      <c r="H138" s="7"/>
      <c r="I138" s="20"/>
      <c r="J138" s="20">
        <v>711</v>
      </c>
      <c r="K138" s="20">
        <v>711</v>
      </c>
    </row>
    <row r="139" spans="1:11" s="11" customFormat="1" x14ac:dyDescent="0.15">
      <c r="A139" s="20">
        <v>950</v>
      </c>
      <c r="B139" s="7" t="str">
        <f>VLOOKUP(A139,PipeN!$B$3:$D$48,2,FALSE)</f>
        <v>38"</v>
      </c>
      <c r="C139" s="7">
        <f>VLOOKUP(A139,PipeN!$B$3:$D$48,3,FALSE)</f>
        <v>955</v>
      </c>
      <c r="D139" s="7"/>
      <c r="E139" s="20">
        <v>850</v>
      </c>
      <c r="F139" s="7" t="str">
        <f>VLOOKUP(E139,PipeN!$B$3:$D$48,2,FALSE)</f>
        <v>34"</v>
      </c>
      <c r="G139" s="7">
        <f>VLOOKUP(E139,PipeN!$B$3:$D$48,3,FALSE)</f>
        <v>864</v>
      </c>
      <c r="H139" s="7"/>
      <c r="I139" s="20"/>
      <c r="J139" s="20">
        <v>711</v>
      </c>
      <c r="K139" s="20">
        <v>698</v>
      </c>
    </row>
    <row r="140" spans="1:11" s="11" customFormat="1" x14ac:dyDescent="0.15">
      <c r="A140" s="20">
        <v>950</v>
      </c>
      <c r="B140" s="7" t="str">
        <f>VLOOKUP(A140,PipeN!$B$3:$D$48,2,FALSE)</f>
        <v>38"</v>
      </c>
      <c r="C140" s="7">
        <f>VLOOKUP(A140,PipeN!$B$3:$D$48,3,FALSE)</f>
        <v>955</v>
      </c>
      <c r="D140" s="7"/>
      <c r="E140" s="20">
        <v>800</v>
      </c>
      <c r="F140" s="7" t="str">
        <f>VLOOKUP(E140,PipeN!$B$3:$D$48,2,FALSE)</f>
        <v>32"</v>
      </c>
      <c r="G140" s="7">
        <f>VLOOKUP(E140,PipeN!$B$3:$D$48,3,FALSE)</f>
        <v>813</v>
      </c>
      <c r="H140" s="7"/>
      <c r="I140" s="20"/>
      <c r="J140" s="20">
        <v>711</v>
      </c>
      <c r="K140" s="20">
        <v>686</v>
      </c>
    </row>
    <row r="141" spans="1:11" s="11" customFormat="1" x14ac:dyDescent="0.15">
      <c r="A141" s="20">
        <v>950</v>
      </c>
      <c r="B141" s="7" t="str">
        <f>VLOOKUP(A141,PipeN!$B$3:$D$48,2,FALSE)</f>
        <v>38"</v>
      </c>
      <c r="C141" s="7">
        <f>VLOOKUP(A141,PipeN!$B$3:$D$48,3,FALSE)</f>
        <v>955</v>
      </c>
      <c r="D141" s="7"/>
      <c r="E141" s="20">
        <v>750</v>
      </c>
      <c r="F141" s="7" t="str">
        <f>VLOOKUP(E141,PipeN!$B$3:$D$48,2,FALSE)</f>
        <v>30"</v>
      </c>
      <c r="G141" s="7">
        <f>VLOOKUP(E141,PipeN!$B$3:$D$48,3,FALSE)</f>
        <v>762</v>
      </c>
      <c r="H141" s="7"/>
      <c r="I141" s="20"/>
      <c r="J141" s="20">
        <v>711</v>
      </c>
      <c r="K141" s="20">
        <v>673</v>
      </c>
    </row>
    <row r="142" spans="1:11" s="11" customFormat="1" x14ac:dyDescent="0.15">
      <c r="A142" s="20">
        <v>950</v>
      </c>
      <c r="B142" s="7" t="str">
        <f>VLOOKUP(A142,PipeN!$B$3:$D$48,2,FALSE)</f>
        <v>38"</v>
      </c>
      <c r="C142" s="7">
        <f>VLOOKUP(A142,PipeN!$B$3:$D$48,3,FALSE)</f>
        <v>955</v>
      </c>
      <c r="D142" s="7"/>
      <c r="E142" s="20">
        <v>700</v>
      </c>
      <c r="F142" s="7" t="str">
        <f>VLOOKUP(E142,PipeN!$B$3:$D$48,2,FALSE)</f>
        <v>28"</v>
      </c>
      <c r="G142" s="7">
        <f>VLOOKUP(E142,PipeN!$B$3:$D$48,3,FALSE)</f>
        <v>711</v>
      </c>
      <c r="H142" s="7"/>
      <c r="I142" s="20"/>
      <c r="J142" s="20">
        <v>711</v>
      </c>
      <c r="K142" s="20">
        <v>648</v>
      </c>
    </row>
    <row r="143" spans="1:11" s="11" customFormat="1" x14ac:dyDescent="0.15">
      <c r="A143" s="20">
        <v>950</v>
      </c>
      <c r="B143" s="7" t="str">
        <f>VLOOKUP(A143,PipeN!$B$3:$D$48,2,FALSE)</f>
        <v>38"</v>
      </c>
      <c r="C143" s="7">
        <f>VLOOKUP(A143,PipeN!$B$3:$D$48,3,FALSE)</f>
        <v>955</v>
      </c>
      <c r="D143" s="7"/>
      <c r="E143" s="20">
        <v>650</v>
      </c>
      <c r="F143" s="7" t="str">
        <f>VLOOKUP(E143,PipeN!$B$3:$D$48,2,FALSE)</f>
        <v>26"</v>
      </c>
      <c r="G143" s="7">
        <f>VLOOKUP(E143,PipeN!$B$3:$D$48,3,FALSE)</f>
        <v>660</v>
      </c>
      <c r="H143" s="7"/>
      <c r="I143" s="20"/>
      <c r="J143" s="20">
        <v>711</v>
      </c>
      <c r="K143" s="20">
        <v>648</v>
      </c>
    </row>
    <row r="144" spans="1:11" s="11" customFormat="1" x14ac:dyDescent="0.15">
      <c r="A144" s="20">
        <v>950</v>
      </c>
      <c r="B144" s="7" t="str">
        <f>VLOOKUP(A144,PipeN!$B$3:$D$48,2,FALSE)</f>
        <v>38"</v>
      </c>
      <c r="C144" s="7">
        <f>VLOOKUP(A144,PipeN!$B$3:$D$48,3,FALSE)</f>
        <v>955</v>
      </c>
      <c r="D144" s="7"/>
      <c r="E144" s="20">
        <v>600</v>
      </c>
      <c r="F144" s="7" t="str">
        <f>VLOOKUP(E144,PipeN!$B$3:$D$48,2,FALSE)</f>
        <v>24"</v>
      </c>
      <c r="G144" s="7">
        <f>VLOOKUP(E144,PipeN!$B$3:$D$48,3,FALSE)</f>
        <v>610</v>
      </c>
      <c r="H144" s="7"/>
      <c r="I144" s="20"/>
      <c r="J144" s="20">
        <v>711</v>
      </c>
      <c r="K144" s="20">
        <v>635</v>
      </c>
    </row>
    <row r="145" spans="1:11" x14ac:dyDescent="0.15">
      <c r="A145" s="20">
        <v>950</v>
      </c>
      <c r="B145" s="7" t="str">
        <f>VLOOKUP(A145,PipeN!$B$3:$D$48,2,FALSE)</f>
        <v>38"</v>
      </c>
      <c r="C145" s="7">
        <f>VLOOKUP(A145,PipeN!$B$3:$D$48,3,FALSE)</f>
        <v>955</v>
      </c>
      <c r="D145" s="7"/>
      <c r="E145" s="20">
        <v>550</v>
      </c>
      <c r="F145" s="7" t="str">
        <f>VLOOKUP(E145,PipeN!$B$3:$D$48,2,FALSE)</f>
        <v>22"</v>
      </c>
      <c r="G145" s="7">
        <f>VLOOKUP(E145,PipeN!$B$3:$D$48,3,FALSE)</f>
        <v>559</v>
      </c>
      <c r="H145" s="7"/>
      <c r="I145" s="20"/>
      <c r="J145" s="20">
        <v>711</v>
      </c>
      <c r="K145" s="20">
        <v>622</v>
      </c>
    </row>
    <row r="146" spans="1:11" x14ac:dyDescent="0.15">
      <c r="A146" s="20">
        <v>950</v>
      </c>
      <c r="B146" s="7" t="str">
        <f>VLOOKUP(A146,PipeN!$B$3:$D$48,2,FALSE)</f>
        <v>38"</v>
      </c>
      <c r="C146" s="7">
        <f>VLOOKUP(A146,PipeN!$B$3:$D$48,3,FALSE)</f>
        <v>955</v>
      </c>
      <c r="D146" s="7"/>
      <c r="E146" s="20">
        <v>500</v>
      </c>
      <c r="F146" s="7" t="str">
        <f>VLOOKUP(E146,PipeN!$B$3:$D$48,2,FALSE)</f>
        <v>20"</v>
      </c>
      <c r="G146" s="7">
        <f>VLOOKUP(E146,PipeN!$B$3:$D$48,3,FALSE)</f>
        <v>508</v>
      </c>
      <c r="H146" s="7"/>
      <c r="I146" s="20"/>
      <c r="J146" s="20">
        <v>711</v>
      </c>
      <c r="K146" s="20">
        <v>610</v>
      </c>
    </row>
    <row r="147" spans="1:11" x14ac:dyDescent="0.15">
      <c r="A147" s="20">
        <v>950</v>
      </c>
      <c r="B147" s="7" t="str">
        <f>VLOOKUP(A147,PipeN!$B$3:$D$48,2,FALSE)</f>
        <v>38"</v>
      </c>
      <c r="C147" s="7">
        <f>VLOOKUP(A147,PipeN!$B$3:$D$48,3,FALSE)</f>
        <v>955</v>
      </c>
      <c r="D147" s="7"/>
      <c r="E147" s="20">
        <v>450</v>
      </c>
      <c r="F147" s="7" t="str">
        <f>VLOOKUP(E147,PipeN!$B$3:$D$48,2,FALSE)</f>
        <v>18"</v>
      </c>
      <c r="G147" s="7">
        <f>VLOOKUP(E147,PipeN!$B$3:$D$48,3,FALSE)</f>
        <v>457</v>
      </c>
      <c r="H147" s="7"/>
      <c r="I147" s="20"/>
      <c r="J147" s="20">
        <v>711</v>
      </c>
      <c r="K147" s="20">
        <v>597</v>
      </c>
    </row>
    <row r="148" spans="1:11" s="11" customFormat="1" x14ac:dyDescent="0.15">
      <c r="A148" s="20">
        <v>1000</v>
      </c>
      <c r="B148" s="7" t="str">
        <f>VLOOKUP(A148,PipeN!$B$3:$D$48,2,FALSE)</f>
        <v>40"</v>
      </c>
      <c r="C148" s="7">
        <f>VLOOKUP(A148,PipeN!$B$3:$D$48,3,FALSE)</f>
        <v>1016</v>
      </c>
      <c r="D148" s="7"/>
      <c r="E148" s="20">
        <v>950</v>
      </c>
      <c r="F148" s="7" t="str">
        <f>VLOOKUP(E148,PipeN!$B$3:$D$48,2,FALSE)</f>
        <v>38"</v>
      </c>
      <c r="G148" s="7">
        <f>VLOOKUP(E148,PipeN!$B$3:$D$48,3,FALSE)</f>
        <v>955</v>
      </c>
      <c r="H148" s="7"/>
      <c r="I148" s="20"/>
      <c r="J148" s="20">
        <v>749</v>
      </c>
      <c r="K148" s="20">
        <v>749</v>
      </c>
    </row>
    <row r="149" spans="1:11" s="11" customFormat="1" x14ac:dyDescent="0.15">
      <c r="A149" s="20">
        <v>1000</v>
      </c>
      <c r="B149" s="7" t="str">
        <f>VLOOKUP(A149,PipeN!$B$3:$D$48,2,FALSE)</f>
        <v>40"</v>
      </c>
      <c r="C149" s="7">
        <f>VLOOKUP(A149,PipeN!$B$3:$D$48,3,FALSE)</f>
        <v>1016</v>
      </c>
      <c r="D149" s="7"/>
      <c r="E149" s="20">
        <v>900</v>
      </c>
      <c r="F149" s="7" t="str">
        <f>VLOOKUP(E149,PipeN!$B$3:$D$48,2,FALSE)</f>
        <v>36"</v>
      </c>
      <c r="G149" s="7">
        <f>VLOOKUP(E149,PipeN!$B$3:$D$48,3,FALSE)</f>
        <v>914</v>
      </c>
      <c r="H149" s="7"/>
      <c r="I149" s="20"/>
      <c r="J149" s="20">
        <v>749</v>
      </c>
      <c r="K149" s="20">
        <v>737</v>
      </c>
    </row>
    <row r="150" spans="1:11" s="11" customFormat="1" x14ac:dyDescent="0.15">
      <c r="A150" s="20">
        <v>1000</v>
      </c>
      <c r="B150" s="7" t="str">
        <f>VLOOKUP(A150,PipeN!$B$3:$D$48,2,FALSE)</f>
        <v>40"</v>
      </c>
      <c r="C150" s="7">
        <f>VLOOKUP(A150,PipeN!$B$3:$D$48,3,FALSE)</f>
        <v>1016</v>
      </c>
      <c r="D150" s="7"/>
      <c r="E150" s="20">
        <v>850</v>
      </c>
      <c r="F150" s="7" t="str">
        <f>VLOOKUP(E150,PipeN!$B$3:$D$48,2,FALSE)</f>
        <v>34"</v>
      </c>
      <c r="G150" s="7">
        <f>VLOOKUP(E150,PipeN!$B$3:$D$48,3,FALSE)</f>
        <v>864</v>
      </c>
      <c r="H150" s="7"/>
      <c r="I150" s="20"/>
      <c r="J150" s="20">
        <v>749</v>
      </c>
      <c r="K150" s="20">
        <v>724</v>
      </c>
    </row>
    <row r="151" spans="1:11" s="11" customFormat="1" x14ac:dyDescent="0.15">
      <c r="A151" s="20">
        <v>1000</v>
      </c>
      <c r="B151" s="7" t="str">
        <f>VLOOKUP(A151,PipeN!$B$3:$D$48,2,FALSE)</f>
        <v>40"</v>
      </c>
      <c r="C151" s="7">
        <f>VLOOKUP(A151,PipeN!$B$3:$D$48,3,FALSE)</f>
        <v>1016</v>
      </c>
      <c r="D151" s="7"/>
      <c r="E151" s="20">
        <v>800</v>
      </c>
      <c r="F151" s="7" t="str">
        <f>VLOOKUP(E151,PipeN!$B$3:$D$48,2,FALSE)</f>
        <v>32"</v>
      </c>
      <c r="G151" s="7">
        <f>VLOOKUP(E151,PipeN!$B$3:$D$48,3,FALSE)</f>
        <v>813</v>
      </c>
      <c r="H151" s="7"/>
      <c r="I151" s="20"/>
      <c r="J151" s="20">
        <v>749</v>
      </c>
      <c r="K151" s="20">
        <v>711</v>
      </c>
    </row>
    <row r="152" spans="1:11" s="11" customFormat="1" x14ac:dyDescent="0.15">
      <c r="A152" s="20">
        <v>1000</v>
      </c>
      <c r="B152" s="7" t="str">
        <f>VLOOKUP(A152,PipeN!$B$3:$D$48,2,FALSE)</f>
        <v>40"</v>
      </c>
      <c r="C152" s="7">
        <f>VLOOKUP(A152,PipeN!$B$3:$D$48,3,FALSE)</f>
        <v>1016</v>
      </c>
      <c r="D152" s="7"/>
      <c r="E152" s="20">
        <v>750</v>
      </c>
      <c r="F152" s="7" t="str">
        <f>VLOOKUP(E152,PipeN!$B$3:$D$48,2,FALSE)</f>
        <v>30"</v>
      </c>
      <c r="G152" s="7">
        <f>VLOOKUP(E152,PipeN!$B$3:$D$48,3,FALSE)</f>
        <v>762</v>
      </c>
      <c r="H152" s="7"/>
      <c r="I152" s="20"/>
      <c r="J152" s="20">
        <v>749</v>
      </c>
      <c r="K152" s="20">
        <v>698</v>
      </c>
    </row>
    <row r="153" spans="1:11" s="11" customFormat="1" x14ac:dyDescent="0.15">
      <c r="A153" s="20">
        <v>1000</v>
      </c>
      <c r="B153" s="7" t="str">
        <f>VLOOKUP(A153,PipeN!$B$3:$D$48,2,FALSE)</f>
        <v>40"</v>
      </c>
      <c r="C153" s="7">
        <f>VLOOKUP(A153,PipeN!$B$3:$D$48,3,FALSE)</f>
        <v>1016</v>
      </c>
      <c r="D153" s="7"/>
      <c r="E153" s="20">
        <v>700</v>
      </c>
      <c r="F153" s="7" t="str">
        <f>VLOOKUP(E153,PipeN!$B$3:$D$48,2,FALSE)</f>
        <v>28"</v>
      </c>
      <c r="G153" s="7">
        <f>VLOOKUP(E153,PipeN!$B$3:$D$48,3,FALSE)</f>
        <v>711</v>
      </c>
      <c r="H153" s="7"/>
      <c r="I153" s="20"/>
      <c r="J153" s="20">
        <v>749</v>
      </c>
      <c r="K153" s="20">
        <v>673</v>
      </c>
    </row>
    <row r="154" spans="1:11" s="11" customFormat="1" x14ac:dyDescent="0.15">
      <c r="A154" s="20">
        <v>1000</v>
      </c>
      <c r="B154" s="7" t="str">
        <f>VLOOKUP(A154,PipeN!$B$3:$D$48,2,FALSE)</f>
        <v>40"</v>
      </c>
      <c r="C154" s="7">
        <f>VLOOKUP(A154,PipeN!$B$3:$D$48,3,FALSE)</f>
        <v>1016</v>
      </c>
      <c r="D154" s="7"/>
      <c r="E154" s="20">
        <v>650</v>
      </c>
      <c r="F154" s="7" t="str">
        <f>VLOOKUP(E154,PipeN!$B$3:$D$48,2,FALSE)</f>
        <v>26"</v>
      </c>
      <c r="G154" s="7">
        <f>VLOOKUP(E154,PipeN!$B$3:$D$48,3,FALSE)</f>
        <v>660</v>
      </c>
      <c r="H154" s="7"/>
      <c r="I154" s="20"/>
      <c r="J154" s="20">
        <v>749</v>
      </c>
      <c r="K154" s="23">
        <v>673</v>
      </c>
    </row>
    <row r="155" spans="1:11" s="11" customFormat="1" x14ac:dyDescent="0.15">
      <c r="A155" s="20">
        <v>1000</v>
      </c>
      <c r="B155" s="7" t="str">
        <f>VLOOKUP(A155,PipeN!$B$3:$D$48,2,FALSE)</f>
        <v>40"</v>
      </c>
      <c r="C155" s="7">
        <f>VLOOKUP(A155,PipeN!$B$3:$D$48,3,FALSE)</f>
        <v>1016</v>
      </c>
      <c r="D155" s="7"/>
      <c r="E155" s="20">
        <v>600</v>
      </c>
      <c r="F155" s="7" t="str">
        <f>VLOOKUP(E155,PipeN!$B$3:$D$48,2,FALSE)</f>
        <v>24"</v>
      </c>
      <c r="G155" s="7">
        <f>VLOOKUP(E155,PipeN!$B$3:$D$48,3,FALSE)</f>
        <v>610</v>
      </c>
      <c r="H155" s="7"/>
      <c r="I155" s="20"/>
      <c r="J155" s="20">
        <v>749</v>
      </c>
      <c r="K155" s="20">
        <v>660</v>
      </c>
    </row>
    <row r="156" spans="1:11" s="11" customFormat="1" x14ac:dyDescent="0.15">
      <c r="A156" s="20">
        <v>1000</v>
      </c>
      <c r="B156" s="7" t="str">
        <f>VLOOKUP(A156,PipeN!$B$3:$D$48,2,FALSE)</f>
        <v>40"</v>
      </c>
      <c r="C156" s="7">
        <f>VLOOKUP(A156,PipeN!$B$3:$D$48,3,FALSE)</f>
        <v>1016</v>
      </c>
      <c r="D156" s="7"/>
      <c r="E156" s="20">
        <v>550</v>
      </c>
      <c r="F156" s="7" t="str">
        <f>VLOOKUP(E156,PipeN!$B$3:$D$48,2,FALSE)</f>
        <v>22"</v>
      </c>
      <c r="G156" s="7">
        <f>VLOOKUP(E156,PipeN!$B$3:$D$48,3,FALSE)</f>
        <v>559</v>
      </c>
      <c r="H156" s="7"/>
      <c r="I156" s="20"/>
      <c r="J156" s="20">
        <v>749</v>
      </c>
      <c r="K156" s="20">
        <v>648</v>
      </c>
    </row>
    <row r="157" spans="1:11" s="11" customFormat="1" x14ac:dyDescent="0.15">
      <c r="A157" s="20">
        <v>1000</v>
      </c>
      <c r="B157" s="7" t="str">
        <f>VLOOKUP(A157,PipeN!$B$3:$D$48,2,FALSE)</f>
        <v>40"</v>
      </c>
      <c r="C157" s="7">
        <f>VLOOKUP(A157,PipeN!$B$3:$D$48,3,FALSE)</f>
        <v>1016</v>
      </c>
      <c r="D157" s="7"/>
      <c r="E157" s="20">
        <v>500</v>
      </c>
      <c r="F157" s="7" t="str">
        <f>VLOOKUP(E157,PipeN!$B$3:$D$48,2,FALSE)</f>
        <v>20"</v>
      </c>
      <c r="G157" s="7">
        <f>VLOOKUP(E157,PipeN!$B$3:$D$48,3,FALSE)</f>
        <v>508</v>
      </c>
      <c r="H157" s="7"/>
      <c r="I157" s="20"/>
      <c r="J157" s="20">
        <v>749</v>
      </c>
      <c r="K157" s="20">
        <v>635</v>
      </c>
    </row>
    <row r="158" spans="1:11" s="11" customFormat="1" x14ac:dyDescent="0.15">
      <c r="A158" s="20">
        <v>1000</v>
      </c>
      <c r="B158" s="7" t="str">
        <f>VLOOKUP(A158,PipeN!$B$3:$D$48,2,FALSE)</f>
        <v>40"</v>
      </c>
      <c r="C158" s="7">
        <f>VLOOKUP(A158,PipeN!$B$3:$D$48,3,FALSE)</f>
        <v>1016</v>
      </c>
      <c r="D158" s="7"/>
      <c r="E158" s="20">
        <v>450</v>
      </c>
      <c r="F158" s="7" t="str">
        <f>VLOOKUP(E158,PipeN!$B$3:$D$48,2,FALSE)</f>
        <v>18"</v>
      </c>
      <c r="G158" s="7">
        <f>VLOOKUP(E158,PipeN!$B$3:$D$48,3,FALSE)</f>
        <v>457</v>
      </c>
      <c r="H158" s="7"/>
      <c r="I158" s="20"/>
      <c r="J158" s="20">
        <v>749</v>
      </c>
      <c r="K158" s="20">
        <v>622</v>
      </c>
    </row>
    <row r="159" spans="1:11" s="11" customFormat="1" x14ac:dyDescent="0.15">
      <c r="A159" s="20">
        <v>1050</v>
      </c>
      <c r="B159" s="7" t="str">
        <f>VLOOKUP(A159,PipeN!$B$3:$D$48,2,FALSE)</f>
        <v>42"</v>
      </c>
      <c r="C159" s="7">
        <f>VLOOKUP(A159,PipeN!$B$3:$D$48,3,FALSE)</f>
        <v>1067</v>
      </c>
      <c r="D159" s="7"/>
      <c r="E159" s="20">
        <v>1000</v>
      </c>
      <c r="F159" s="7" t="str">
        <f>VLOOKUP(E159,PipeN!$B$3:$D$48,2,FALSE)</f>
        <v>40"</v>
      </c>
      <c r="G159" s="7">
        <f>VLOOKUP(E159,PipeN!$B$3:$D$48,3,FALSE)</f>
        <v>1016</v>
      </c>
      <c r="H159" s="7"/>
      <c r="I159" s="20"/>
      <c r="J159" s="20">
        <v>762</v>
      </c>
      <c r="K159" s="20">
        <v>711</v>
      </c>
    </row>
    <row r="160" spans="1:11" s="11" customFormat="1" x14ac:dyDescent="0.15">
      <c r="A160" s="20">
        <v>1050</v>
      </c>
      <c r="B160" s="7" t="str">
        <f>VLOOKUP(A160,PipeN!$B$3:$D$48,2,FALSE)</f>
        <v>42"</v>
      </c>
      <c r="C160" s="7">
        <f>VLOOKUP(A160,PipeN!$B$3:$D$48,3,FALSE)</f>
        <v>1067</v>
      </c>
      <c r="D160" s="7"/>
      <c r="E160" s="20">
        <v>950</v>
      </c>
      <c r="F160" s="7" t="str">
        <f>VLOOKUP(E160,PipeN!$B$3:$D$48,2,FALSE)</f>
        <v>38"</v>
      </c>
      <c r="G160" s="7">
        <f>VLOOKUP(E160,PipeN!$B$3:$D$48,3,FALSE)</f>
        <v>955</v>
      </c>
      <c r="H160" s="7"/>
      <c r="I160" s="20"/>
      <c r="J160" s="20">
        <v>762</v>
      </c>
      <c r="K160" s="20">
        <v>711</v>
      </c>
    </row>
    <row r="161" spans="1:11" s="11" customFormat="1" x14ac:dyDescent="0.15">
      <c r="A161" s="20">
        <v>1050</v>
      </c>
      <c r="B161" s="7" t="str">
        <f>VLOOKUP(A161,PipeN!$B$3:$D$48,2,FALSE)</f>
        <v>42"</v>
      </c>
      <c r="C161" s="7">
        <f>VLOOKUP(A161,PipeN!$B$3:$D$48,3,FALSE)</f>
        <v>1067</v>
      </c>
      <c r="D161" s="7"/>
      <c r="E161" s="20">
        <v>900</v>
      </c>
      <c r="F161" s="7" t="str">
        <f>VLOOKUP(E161,PipeN!$B$3:$D$48,2,FALSE)</f>
        <v>36"</v>
      </c>
      <c r="G161" s="7">
        <f>VLOOKUP(E161,PipeN!$B$3:$D$48,3,FALSE)</f>
        <v>914</v>
      </c>
      <c r="H161" s="7"/>
      <c r="I161" s="20"/>
      <c r="J161" s="20">
        <v>762</v>
      </c>
      <c r="K161" s="20">
        <v>711</v>
      </c>
    </row>
    <row r="162" spans="1:11" s="11" customFormat="1" x14ac:dyDescent="0.15">
      <c r="A162" s="20">
        <v>1050</v>
      </c>
      <c r="B162" s="7" t="str">
        <f>VLOOKUP(A162,PipeN!$B$3:$D$48,2,FALSE)</f>
        <v>42"</v>
      </c>
      <c r="C162" s="7">
        <f>VLOOKUP(A162,PipeN!$B$3:$D$48,3,FALSE)</f>
        <v>1067</v>
      </c>
      <c r="D162" s="7"/>
      <c r="E162" s="20">
        <v>850</v>
      </c>
      <c r="F162" s="7" t="str">
        <f>VLOOKUP(E162,PipeN!$B$3:$D$48,2,FALSE)</f>
        <v>34"</v>
      </c>
      <c r="G162" s="7">
        <f>VLOOKUP(E162,PipeN!$B$3:$D$48,3,FALSE)</f>
        <v>864</v>
      </c>
      <c r="H162" s="7"/>
      <c r="I162" s="20"/>
      <c r="J162" s="20">
        <v>762</v>
      </c>
      <c r="K162" s="20">
        <v>711</v>
      </c>
    </row>
    <row r="163" spans="1:11" s="11" customFormat="1" x14ac:dyDescent="0.15">
      <c r="A163" s="20">
        <v>1050</v>
      </c>
      <c r="B163" s="7" t="str">
        <f>VLOOKUP(A163,PipeN!$B$3:$D$48,2,FALSE)</f>
        <v>42"</v>
      </c>
      <c r="C163" s="7">
        <f>VLOOKUP(A163,PipeN!$B$3:$D$48,3,FALSE)</f>
        <v>1067</v>
      </c>
      <c r="D163" s="7"/>
      <c r="E163" s="20">
        <v>800</v>
      </c>
      <c r="F163" s="7" t="str">
        <f>VLOOKUP(E163,PipeN!$B$3:$D$48,2,FALSE)</f>
        <v>32"</v>
      </c>
      <c r="G163" s="7">
        <f>VLOOKUP(E163,PipeN!$B$3:$D$48,3,FALSE)</f>
        <v>813</v>
      </c>
      <c r="H163" s="7"/>
      <c r="I163" s="20"/>
      <c r="J163" s="20">
        <v>762</v>
      </c>
      <c r="K163" s="20">
        <v>711</v>
      </c>
    </row>
    <row r="164" spans="1:11" s="11" customFormat="1" x14ac:dyDescent="0.15">
      <c r="A164" s="20">
        <v>1050</v>
      </c>
      <c r="B164" s="7" t="str">
        <f>VLOOKUP(A164,PipeN!$B$3:$D$48,2,FALSE)</f>
        <v>42"</v>
      </c>
      <c r="C164" s="7">
        <f>VLOOKUP(A164,PipeN!$B$3:$D$48,3,FALSE)</f>
        <v>1067</v>
      </c>
      <c r="D164" s="7"/>
      <c r="E164" s="20">
        <v>750</v>
      </c>
      <c r="F164" s="7" t="str">
        <f>VLOOKUP(E164,PipeN!$B$3:$D$48,2,FALSE)</f>
        <v>30"</v>
      </c>
      <c r="G164" s="7">
        <f>VLOOKUP(E164,PipeN!$B$3:$D$48,3,FALSE)</f>
        <v>762</v>
      </c>
      <c r="H164" s="7"/>
      <c r="I164" s="20"/>
      <c r="J164" s="20">
        <v>762</v>
      </c>
      <c r="K164" s="20">
        <v>711</v>
      </c>
    </row>
    <row r="165" spans="1:11" s="11" customFormat="1" x14ac:dyDescent="0.15">
      <c r="A165" s="20">
        <v>1050</v>
      </c>
      <c r="B165" s="7" t="str">
        <f>VLOOKUP(A165,PipeN!$B$3:$D$48,2,FALSE)</f>
        <v>42"</v>
      </c>
      <c r="C165" s="7">
        <f>VLOOKUP(A165,PipeN!$B$3:$D$48,3,FALSE)</f>
        <v>1067</v>
      </c>
      <c r="D165" s="7"/>
      <c r="E165" s="20">
        <v>700</v>
      </c>
      <c r="F165" s="7" t="str">
        <f>VLOOKUP(E165,PipeN!$B$3:$D$48,2,FALSE)</f>
        <v>28"</v>
      </c>
      <c r="G165" s="7">
        <f>VLOOKUP(E165,PipeN!$B$3:$D$48,3,FALSE)</f>
        <v>711</v>
      </c>
      <c r="H165" s="7"/>
      <c r="I165" s="20"/>
      <c r="J165" s="20">
        <v>762</v>
      </c>
      <c r="K165" s="20">
        <v>698</v>
      </c>
    </row>
    <row r="166" spans="1:11" s="11" customFormat="1" x14ac:dyDescent="0.15">
      <c r="A166" s="20">
        <v>1050</v>
      </c>
      <c r="B166" s="7" t="str">
        <f>VLOOKUP(A166,PipeN!$B$3:$D$48,2,FALSE)</f>
        <v>42"</v>
      </c>
      <c r="C166" s="7">
        <f>VLOOKUP(A166,PipeN!$B$3:$D$48,3,FALSE)</f>
        <v>1067</v>
      </c>
      <c r="D166" s="7"/>
      <c r="E166" s="20">
        <v>650</v>
      </c>
      <c r="F166" s="7" t="str">
        <f>VLOOKUP(E166,PipeN!$B$3:$D$48,2,FALSE)</f>
        <v>26"</v>
      </c>
      <c r="G166" s="7">
        <f>VLOOKUP(E166,PipeN!$B$3:$D$48,3,FALSE)</f>
        <v>660</v>
      </c>
      <c r="H166" s="7"/>
      <c r="I166" s="20"/>
      <c r="J166" s="20">
        <v>762</v>
      </c>
      <c r="K166" s="20">
        <v>698</v>
      </c>
    </row>
    <row r="167" spans="1:11" s="11" customFormat="1" x14ac:dyDescent="0.15">
      <c r="A167" s="20">
        <v>1050</v>
      </c>
      <c r="B167" s="7" t="str">
        <f>VLOOKUP(A167,PipeN!$B$3:$D$48,2,FALSE)</f>
        <v>42"</v>
      </c>
      <c r="C167" s="7">
        <f>VLOOKUP(A167,PipeN!$B$3:$D$48,3,FALSE)</f>
        <v>1067</v>
      </c>
      <c r="D167" s="7"/>
      <c r="E167" s="20">
        <v>600</v>
      </c>
      <c r="F167" s="7" t="str">
        <f>VLOOKUP(E167,PipeN!$B$3:$D$48,2,FALSE)</f>
        <v>24"</v>
      </c>
      <c r="G167" s="7">
        <f>VLOOKUP(E167,PipeN!$B$3:$D$48,3,FALSE)</f>
        <v>610</v>
      </c>
      <c r="H167" s="7"/>
      <c r="I167" s="20"/>
      <c r="J167" s="20">
        <v>762</v>
      </c>
      <c r="K167" s="20">
        <v>660</v>
      </c>
    </row>
    <row r="168" spans="1:11" s="11" customFormat="1" x14ac:dyDescent="0.15">
      <c r="A168" s="20">
        <v>1050</v>
      </c>
      <c r="B168" s="7" t="str">
        <f>VLOOKUP(A168,PipeN!$B$3:$D$48,2,FALSE)</f>
        <v>42"</v>
      </c>
      <c r="C168" s="7">
        <f>VLOOKUP(A168,PipeN!$B$3:$D$48,3,FALSE)</f>
        <v>1067</v>
      </c>
      <c r="D168" s="7"/>
      <c r="E168" s="20">
        <v>550</v>
      </c>
      <c r="F168" s="7" t="str">
        <f>VLOOKUP(E168,PipeN!$B$3:$D$48,2,FALSE)</f>
        <v>22"</v>
      </c>
      <c r="G168" s="7">
        <f>VLOOKUP(E168,PipeN!$B$3:$D$48,3,FALSE)</f>
        <v>559</v>
      </c>
      <c r="H168" s="7"/>
      <c r="I168" s="20"/>
      <c r="J168" s="20">
        <v>762</v>
      </c>
      <c r="K168" s="20">
        <v>660</v>
      </c>
    </row>
    <row r="169" spans="1:11" s="11" customFormat="1" x14ac:dyDescent="0.15">
      <c r="A169" s="20">
        <v>1050</v>
      </c>
      <c r="B169" s="7" t="str">
        <f>VLOOKUP(A169,PipeN!$B$3:$D$48,2,FALSE)</f>
        <v>42"</v>
      </c>
      <c r="C169" s="7">
        <f>VLOOKUP(A169,PipeN!$B$3:$D$48,3,FALSE)</f>
        <v>1067</v>
      </c>
      <c r="D169" s="7"/>
      <c r="E169" s="20">
        <v>500</v>
      </c>
      <c r="F169" s="7" t="str">
        <f>VLOOKUP(E169,PipeN!$B$3:$D$48,2,FALSE)</f>
        <v>20"</v>
      </c>
      <c r="G169" s="7">
        <f>VLOOKUP(E169,PipeN!$B$3:$D$48,3,FALSE)</f>
        <v>508</v>
      </c>
      <c r="H169" s="7"/>
      <c r="I169" s="20"/>
      <c r="J169" s="20">
        <v>762</v>
      </c>
      <c r="K169" s="20">
        <v>660</v>
      </c>
    </row>
    <row r="170" spans="1:11" x14ac:dyDescent="0.15">
      <c r="A170" s="20">
        <v>1050</v>
      </c>
      <c r="B170" s="7" t="str">
        <f>VLOOKUP(A170,PipeN!$B$3:$D$48,2,FALSE)</f>
        <v>42"</v>
      </c>
      <c r="C170" s="7">
        <f>VLOOKUP(A170,PipeN!$B$3:$D$48,3,FALSE)</f>
        <v>1067</v>
      </c>
      <c r="D170" s="7"/>
      <c r="E170" s="20">
        <v>450</v>
      </c>
      <c r="F170" s="7" t="str">
        <f>VLOOKUP(E170,PipeN!$B$3:$D$48,2,FALSE)</f>
        <v>18"</v>
      </c>
      <c r="G170" s="7">
        <f>VLOOKUP(E170,PipeN!$B$3:$D$48,3,FALSE)</f>
        <v>457</v>
      </c>
      <c r="H170" s="7"/>
      <c r="I170" s="20"/>
      <c r="J170" s="20">
        <v>762</v>
      </c>
      <c r="K170" s="20">
        <v>648</v>
      </c>
    </row>
    <row r="171" spans="1:11" x14ac:dyDescent="0.15">
      <c r="A171" s="20">
        <v>1050</v>
      </c>
      <c r="B171" s="7" t="str">
        <f>VLOOKUP(A171,PipeN!$B$3:$D$48,2,FALSE)</f>
        <v>42"</v>
      </c>
      <c r="C171" s="7">
        <f>VLOOKUP(A171,PipeN!$B$3:$D$48,3,FALSE)</f>
        <v>1067</v>
      </c>
      <c r="D171" s="7"/>
      <c r="E171" s="20">
        <v>400</v>
      </c>
      <c r="F171" s="7" t="str">
        <f>VLOOKUP(E171,PipeN!$B$3:$D$48,2,FALSE)</f>
        <v>16"</v>
      </c>
      <c r="G171" s="7">
        <f>VLOOKUP(E171,PipeN!$B$3:$D$48,3,FALSE)</f>
        <v>406.4</v>
      </c>
      <c r="H171" s="7"/>
      <c r="I171" s="20"/>
      <c r="J171" s="20">
        <v>762</v>
      </c>
      <c r="K171" s="20">
        <v>635</v>
      </c>
    </row>
    <row r="172" spans="1:11" x14ac:dyDescent="0.15">
      <c r="A172" s="20">
        <v>1100</v>
      </c>
      <c r="B172" s="7" t="str">
        <f>VLOOKUP(A172,PipeN!$B$3:$D$48,2,FALSE)</f>
        <v>44"</v>
      </c>
      <c r="C172" s="7">
        <f>VLOOKUP(A172,PipeN!$B$3:$D$48,3,FALSE)</f>
        <v>1118</v>
      </c>
      <c r="D172" s="7"/>
      <c r="E172" s="20">
        <v>1050</v>
      </c>
      <c r="F172" s="7" t="str">
        <f>VLOOKUP(E172,PipeN!$B$3:$D$48,2,FALSE)</f>
        <v>42"</v>
      </c>
      <c r="G172" s="7">
        <f>VLOOKUP(E172,PipeN!$B$3:$D$48,3,FALSE)</f>
        <v>1067</v>
      </c>
      <c r="H172" s="7"/>
      <c r="I172" s="20"/>
      <c r="J172" s="20">
        <v>813</v>
      </c>
      <c r="K172" s="20">
        <v>762</v>
      </c>
    </row>
    <row r="173" spans="1:11" s="11" customFormat="1" x14ac:dyDescent="0.15">
      <c r="A173" s="20">
        <v>1100</v>
      </c>
      <c r="B173" s="7" t="str">
        <f>VLOOKUP(A173,PipeN!$B$3:$D$48,2,FALSE)</f>
        <v>44"</v>
      </c>
      <c r="C173" s="7">
        <f>VLOOKUP(A173,PipeN!$B$3:$D$48,3,FALSE)</f>
        <v>1118</v>
      </c>
      <c r="D173" s="7"/>
      <c r="E173" s="20">
        <v>1000</v>
      </c>
      <c r="F173" s="7" t="str">
        <f>VLOOKUP(E173,PipeN!$B$3:$D$48,2,FALSE)</f>
        <v>40"</v>
      </c>
      <c r="G173" s="7">
        <f>VLOOKUP(E173,PipeN!$B$3:$D$48,3,FALSE)</f>
        <v>1016</v>
      </c>
      <c r="H173" s="7"/>
      <c r="I173" s="20"/>
      <c r="J173" s="20">
        <v>813</v>
      </c>
      <c r="K173" s="20">
        <v>749</v>
      </c>
    </row>
    <row r="174" spans="1:11" s="11" customFormat="1" x14ac:dyDescent="0.15">
      <c r="A174" s="20">
        <v>1100</v>
      </c>
      <c r="B174" s="7" t="str">
        <f>VLOOKUP(A174,PipeN!$B$3:$D$48,2,FALSE)</f>
        <v>44"</v>
      </c>
      <c r="C174" s="7">
        <f>VLOOKUP(A174,PipeN!$B$3:$D$48,3,FALSE)</f>
        <v>1118</v>
      </c>
      <c r="D174" s="7"/>
      <c r="E174" s="20">
        <v>950</v>
      </c>
      <c r="F174" s="7" t="str">
        <f>VLOOKUP(E174,PipeN!$B$3:$D$48,2,FALSE)</f>
        <v>38"</v>
      </c>
      <c r="G174" s="7">
        <f>VLOOKUP(E174,PipeN!$B$3:$D$48,3,FALSE)</f>
        <v>955</v>
      </c>
      <c r="H174" s="7"/>
      <c r="I174" s="20"/>
      <c r="J174" s="20">
        <v>813</v>
      </c>
      <c r="K174" s="20">
        <v>737</v>
      </c>
    </row>
    <row r="175" spans="1:11" s="11" customFormat="1" x14ac:dyDescent="0.15">
      <c r="A175" s="20">
        <v>1100</v>
      </c>
      <c r="B175" s="7" t="str">
        <f>VLOOKUP(A175,PipeN!$B$3:$D$48,2,FALSE)</f>
        <v>44"</v>
      </c>
      <c r="C175" s="7">
        <f>VLOOKUP(A175,PipeN!$B$3:$D$48,3,FALSE)</f>
        <v>1118</v>
      </c>
      <c r="D175" s="7"/>
      <c r="E175" s="20">
        <v>900</v>
      </c>
      <c r="F175" s="7" t="str">
        <f>VLOOKUP(E175,PipeN!$B$3:$D$48,2,FALSE)</f>
        <v>36"</v>
      </c>
      <c r="G175" s="7">
        <f>VLOOKUP(E175,PipeN!$B$3:$D$48,3,FALSE)</f>
        <v>914</v>
      </c>
      <c r="H175" s="7"/>
      <c r="I175" s="20"/>
      <c r="J175" s="20">
        <v>813</v>
      </c>
      <c r="K175" s="20">
        <v>724</v>
      </c>
    </row>
    <row r="176" spans="1:11" s="11" customFormat="1" x14ac:dyDescent="0.15">
      <c r="A176" s="20">
        <v>1100</v>
      </c>
      <c r="B176" s="7" t="str">
        <f>VLOOKUP(A176,PipeN!$B$3:$D$48,2,FALSE)</f>
        <v>44"</v>
      </c>
      <c r="C176" s="7">
        <f>VLOOKUP(A176,PipeN!$B$3:$D$48,3,FALSE)</f>
        <v>1118</v>
      </c>
      <c r="D176" s="7"/>
      <c r="E176" s="20">
        <v>850</v>
      </c>
      <c r="F176" s="7" t="str">
        <f>VLOOKUP(E176,PipeN!$B$3:$D$48,2,FALSE)</f>
        <v>34"</v>
      </c>
      <c r="G176" s="7">
        <f>VLOOKUP(E176,PipeN!$B$3:$D$48,3,FALSE)</f>
        <v>864</v>
      </c>
      <c r="H176" s="7"/>
      <c r="I176" s="20"/>
      <c r="J176" s="20">
        <v>813</v>
      </c>
      <c r="K176" s="20">
        <v>724</v>
      </c>
    </row>
    <row r="177" spans="1:11" s="11" customFormat="1" x14ac:dyDescent="0.15">
      <c r="A177" s="20">
        <v>1100</v>
      </c>
      <c r="B177" s="7" t="str">
        <f>VLOOKUP(A177,PipeN!$B$3:$D$48,2,FALSE)</f>
        <v>44"</v>
      </c>
      <c r="C177" s="7">
        <f>VLOOKUP(A177,PipeN!$B$3:$D$48,3,FALSE)</f>
        <v>1118</v>
      </c>
      <c r="D177" s="7"/>
      <c r="E177" s="20">
        <v>800</v>
      </c>
      <c r="F177" s="7" t="str">
        <f>VLOOKUP(E177,PipeN!$B$3:$D$48,2,FALSE)</f>
        <v>32"</v>
      </c>
      <c r="G177" s="7">
        <f>VLOOKUP(E177,PipeN!$B$3:$D$48,3,FALSE)</f>
        <v>813</v>
      </c>
      <c r="H177" s="7"/>
      <c r="I177" s="20"/>
      <c r="J177" s="20">
        <v>813</v>
      </c>
      <c r="K177" s="20">
        <v>711</v>
      </c>
    </row>
    <row r="178" spans="1:11" s="11" customFormat="1" x14ac:dyDescent="0.15">
      <c r="A178" s="20">
        <v>1100</v>
      </c>
      <c r="B178" s="7" t="str">
        <f>VLOOKUP(A178,PipeN!$B$3:$D$48,2,FALSE)</f>
        <v>44"</v>
      </c>
      <c r="C178" s="7">
        <f>VLOOKUP(A178,PipeN!$B$3:$D$48,3,FALSE)</f>
        <v>1118</v>
      </c>
      <c r="D178" s="7"/>
      <c r="E178" s="20">
        <v>750</v>
      </c>
      <c r="F178" s="7" t="str">
        <f>VLOOKUP(E178,PipeN!$B$3:$D$48,2,FALSE)</f>
        <v>30"</v>
      </c>
      <c r="G178" s="7">
        <f>VLOOKUP(E178,PipeN!$B$3:$D$48,3,FALSE)</f>
        <v>762</v>
      </c>
      <c r="H178" s="7"/>
      <c r="I178" s="20"/>
      <c r="J178" s="20">
        <v>813</v>
      </c>
      <c r="K178" s="20">
        <v>711</v>
      </c>
    </row>
    <row r="179" spans="1:11" s="11" customFormat="1" x14ac:dyDescent="0.15">
      <c r="A179" s="20">
        <v>1100</v>
      </c>
      <c r="B179" s="7" t="str">
        <f>VLOOKUP(A179,PipeN!$B$3:$D$48,2,FALSE)</f>
        <v>44"</v>
      </c>
      <c r="C179" s="7">
        <f>VLOOKUP(A179,PipeN!$B$3:$D$48,3,FALSE)</f>
        <v>1118</v>
      </c>
      <c r="D179" s="7"/>
      <c r="E179" s="20">
        <v>700</v>
      </c>
      <c r="F179" s="7" t="str">
        <f>VLOOKUP(E179,PipeN!$B$3:$D$48,2,FALSE)</f>
        <v>28"</v>
      </c>
      <c r="G179" s="7">
        <f>VLOOKUP(E179,PipeN!$B$3:$D$48,3,FALSE)</f>
        <v>711</v>
      </c>
      <c r="H179" s="7"/>
      <c r="I179" s="20"/>
      <c r="J179" s="20">
        <v>813</v>
      </c>
      <c r="K179" s="20">
        <v>698</v>
      </c>
    </row>
    <row r="180" spans="1:11" s="11" customFormat="1" x14ac:dyDescent="0.15">
      <c r="A180" s="20">
        <v>1100</v>
      </c>
      <c r="B180" s="7" t="str">
        <f>VLOOKUP(A180,PipeN!$B$3:$D$48,2,FALSE)</f>
        <v>44"</v>
      </c>
      <c r="C180" s="7">
        <f>VLOOKUP(A180,PipeN!$B$3:$D$48,3,FALSE)</f>
        <v>1118</v>
      </c>
      <c r="D180" s="7"/>
      <c r="E180" s="20">
        <v>650</v>
      </c>
      <c r="F180" s="7" t="str">
        <f>VLOOKUP(E180,PipeN!$B$3:$D$48,2,FALSE)</f>
        <v>26"</v>
      </c>
      <c r="G180" s="7">
        <f>VLOOKUP(E180,PipeN!$B$3:$D$48,3,FALSE)</f>
        <v>660</v>
      </c>
      <c r="H180" s="7"/>
      <c r="I180" s="20"/>
      <c r="J180" s="20">
        <v>813</v>
      </c>
      <c r="K180" s="20">
        <v>698</v>
      </c>
    </row>
    <row r="181" spans="1:11" s="11" customFormat="1" x14ac:dyDescent="0.15">
      <c r="A181" s="20">
        <v>1100</v>
      </c>
      <c r="B181" s="7" t="str">
        <f>VLOOKUP(A181,PipeN!$B$3:$D$48,2,FALSE)</f>
        <v>44"</v>
      </c>
      <c r="C181" s="7">
        <f>VLOOKUP(A181,PipeN!$B$3:$D$48,3,FALSE)</f>
        <v>1118</v>
      </c>
      <c r="D181" s="7"/>
      <c r="E181" s="20">
        <v>600</v>
      </c>
      <c r="F181" s="7" t="str">
        <f>VLOOKUP(E181,PipeN!$B$3:$D$48,2,FALSE)</f>
        <v>24"</v>
      </c>
      <c r="G181" s="7">
        <f>VLOOKUP(E181,PipeN!$B$3:$D$48,3,FALSE)</f>
        <v>610</v>
      </c>
      <c r="H181" s="7"/>
      <c r="I181" s="20"/>
      <c r="J181" s="20">
        <v>813</v>
      </c>
      <c r="K181" s="20">
        <v>698</v>
      </c>
    </row>
    <row r="182" spans="1:11" s="11" customFormat="1" x14ac:dyDescent="0.15">
      <c r="A182" s="20">
        <v>1100</v>
      </c>
      <c r="B182" s="7" t="str">
        <f>VLOOKUP(A182,PipeN!$B$3:$D$48,2,FALSE)</f>
        <v>44"</v>
      </c>
      <c r="C182" s="7">
        <f>VLOOKUP(A182,PipeN!$B$3:$D$48,3,FALSE)</f>
        <v>1118</v>
      </c>
      <c r="D182" s="7"/>
      <c r="E182" s="20">
        <v>550</v>
      </c>
      <c r="F182" s="7" t="str">
        <f>VLOOKUP(E182,PipeN!$B$3:$D$48,2,FALSE)</f>
        <v>22"</v>
      </c>
      <c r="G182" s="7">
        <f>VLOOKUP(E182,PipeN!$B$3:$D$48,3,FALSE)</f>
        <v>559</v>
      </c>
      <c r="H182" s="7"/>
      <c r="I182" s="20"/>
      <c r="J182" s="20">
        <v>813</v>
      </c>
      <c r="K182" s="20">
        <v>686</v>
      </c>
    </row>
    <row r="183" spans="1:11" s="11" customFormat="1" x14ac:dyDescent="0.15">
      <c r="A183" s="20">
        <v>1100</v>
      </c>
      <c r="B183" s="7" t="str">
        <f>VLOOKUP(A183,PipeN!$B$3:$D$48,2,FALSE)</f>
        <v>44"</v>
      </c>
      <c r="C183" s="7">
        <f>VLOOKUP(A183,PipeN!$B$3:$D$48,3,FALSE)</f>
        <v>1118</v>
      </c>
      <c r="D183" s="7"/>
      <c r="E183" s="20">
        <v>500</v>
      </c>
      <c r="F183" s="7" t="str">
        <f>VLOOKUP(E183,PipeN!$B$3:$D$48,2,FALSE)</f>
        <v>20"</v>
      </c>
      <c r="G183" s="7">
        <f>VLOOKUP(E183,PipeN!$B$3:$D$48,3,FALSE)</f>
        <v>508</v>
      </c>
      <c r="H183" s="7"/>
      <c r="I183" s="20"/>
      <c r="J183" s="20">
        <v>813</v>
      </c>
      <c r="K183" s="20">
        <v>686</v>
      </c>
    </row>
    <row r="184" spans="1:11" x14ac:dyDescent="0.15">
      <c r="A184" s="20">
        <v>1150</v>
      </c>
      <c r="B184" s="7" t="str">
        <f>VLOOKUP(A184,PipeN!$B$3:$D$48,2,FALSE)</f>
        <v>46"</v>
      </c>
      <c r="C184" s="7">
        <f>VLOOKUP(A184,PipeN!$B$3:$D$48,3,FALSE)</f>
        <v>1168</v>
      </c>
      <c r="D184" s="7"/>
      <c r="E184" s="20">
        <v>1100</v>
      </c>
      <c r="F184" s="7" t="str">
        <f>VLOOKUP(E184,PipeN!$B$3:$D$48,2,FALSE)</f>
        <v>44"</v>
      </c>
      <c r="G184" s="7">
        <f>VLOOKUP(E184,PipeN!$B$3:$D$48,3,FALSE)</f>
        <v>1118</v>
      </c>
      <c r="H184" s="7"/>
      <c r="I184" s="20"/>
      <c r="J184" s="20">
        <v>851</v>
      </c>
      <c r="K184" s="20">
        <v>800</v>
      </c>
    </row>
    <row r="185" spans="1:11" s="11" customFormat="1" x14ac:dyDescent="0.15">
      <c r="A185" s="20">
        <v>1150</v>
      </c>
      <c r="B185" s="7" t="str">
        <f>VLOOKUP(A185,PipeN!$B$3:$D$48,2,FALSE)</f>
        <v>46"</v>
      </c>
      <c r="C185" s="7">
        <f>VLOOKUP(A185,PipeN!$B$3:$D$48,3,FALSE)</f>
        <v>1168</v>
      </c>
      <c r="D185" s="7"/>
      <c r="E185" s="20">
        <v>1050</v>
      </c>
      <c r="F185" s="7" t="str">
        <f>VLOOKUP(E185,PipeN!$B$3:$D$48,2,FALSE)</f>
        <v>42"</v>
      </c>
      <c r="G185" s="7">
        <f>VLOOKUP(E185,PipeN!$B$3:$D$48,3,FALSE)</f>
        <v>1067</v>
      </c>
      <c r="H185" s="7"/>
      <c r="I185" s="20"/>
      <c r="J185" s="20">
        <v>851</v>
      </c>
      <c r="K185" s="20">
        <v>787</v>
      </c>
    </row>
    <row r="186" spans="1:11" s="11" customFormat="1" x14ac:dyDescent="0.15">
      <c r="A186" s="20">
        <v>1150</v>
      </c>
      <c r="B186" s="7" t="str">
        <f>VLOOKUP(A186,PipeN!$B$3:$D$48,2,FALSE)</f>
        <v>46"</v>
      </c>
      <c r="C186" s="7">
        <f>VLOOKUP(A186,PipeN!$B$3:$D$48,3,FALSE)</f>
        <v>1168</v>
      </c>
      <c r="D186" s="7"/>
      <c r="E186" s="20">
        <v>1000</v>
      </c>
      <c r="F186" s="7" t="str">
        <f>VLOOKUP(E186,PipeN!$B$3:$D$48,2,FALSE)</f>
        <v>40"</v>
      </c>
      <c r="G186" s="7">
        <f>VLOOKUP(E186,PipeN!$B$3:$D$48,3,FALSE)</f>
        <v>1016</v>
      </c>
      <c r="H186" s="7"/>
      <c r="I186" s="20"/>
      <c r="J186" s="20">
        <v>851</v>
      </c>
      <c r="K186" s="20">
        <v>775</v>
      </c>
    </row>
    <row r="187" spans="1:11" s="11" customFormat="1" x14ac:dyDescent="0.15">
      <c r="A187" s="20">
        <v>1150</v>
      </c>
      <c r="B187" s="7" t="str">
        <f>VLOOKUP(A187,PipeN!$B$3:$D$48,2,FALSE)</f>
        <v>46"</v>
      </c>
      <c r="C187" s="7">
        <f>VLOOKUP(A187,PipeN!$B$3:$D$48,3,FALSE)</f>
        <v>1168</v>
      </c>
      <c r="D187" s="7"/>
      <c r="E187" s="20">
        <v>950</v>
      </c>
      <c r="F187" s="7" t="str">
        <f>VLOOKUP(E187,PipeN!$B$3:$D$48,2,FALSE)</f>
        <v>38"</v>
      </c>
      <c r="G187" s="7">
        <f>VLOOKUP(E187,PipeN!$B$3:$D$48,3,FALSE)</f>
        <v>955</v>
      </c>
      <c r="H187" s="7"/>
      <c r="I187" s="20"/>
      <c r="J187" s="20">
        <v>851</v>
      </c>
      <c r="K187" s="20">
        <v>762</v>
      </c>
    </row>
    <row r="188" spans="1:11" s="11" customFormat="1" x14ac:dyDescent="0.15">
      <c r="A188" s="20">
        <v>1150</v>
      </c>
      <c r="B188" s="7" t="str">
        <f>VLOOKUP(A188,PipeN!$B$3:$D$48,2,FALSE)</f>
        <v>46"</v>
      </c>
      <c r="C188" s="7">
        <f>VLOOKUP(A188,PipeN!$B$3:$D$48,3,FALSE)</f>
        <v>1168</v>
      </c>
      <c r="D188" s="7"/>
      <c r="E188" s="20">
        <v>900</v>
      </c>
      <c r="F188" s="7" t="str">
        <f>VLOOKUP(E188,PipeN!$B$3:$D$48,2,FALSE)</f>
        <v>36"</v>
      </c>
      <c r="G188" s="7">
        <f>VLOOKUP(E188,PipeN!$B$3:$D$48,3,FALSE)</f>
        <v>914</v>
      </c>
      <c r="H188" s="7"/>
      <c r="I188" s="20"/>
      <c r="J188" s="20">
        <v>851</v>
      </c>
      <c r="K188" s="20">
        <v>762</v>
      </c>
    </row>
    <row r="189" spans="1:11" s="11" customFormat="1" x14ac:dyDescent="0.15">
      <c r="A189" s="20">
        <v>1150</v>
      </c>
      <c r="B189" s="7" t="str">
        <f>VLOOKUP(A189,PipeN!$B$3:$D$48,2,FALSE)</f>
        <v>46"</v>
      </c>
      <c r="C189" s="7">
        <f>VLOOKUP(A189,PipeN!$B$3:$D$48,3,FALSE)</f>
        <v>1168</v>
      </c>
      <c r="D189" s="7"/>
      <c r="E189" s="20">
        <v>850</v>
      </c>
      <c r="F189" s="7" t="str">
        <f>VLOOKUP(E189,PipeN!$B$3:$D$48,2,FALSE)</f>
        <v>34"</v>
      </c>
      <c r="G189" s="7">
        <f>VLOOKUP(E189,PipeN!$B$3:$D$48,3,FALSE)</f>
        <v>864</v>
      </c>
      <c r="H189" s="7"/>
      <c r="I189" s="20"/>
      <c r="J189" s="20">
        <v>851</v>
      </c>
      <c r="K189" s="20">
        <v>749</v>
      </c>
    </row>
    <row r="190" spans="1:11" s="11" customFormat="1" x14ac:dyDescent="0.15">
      <c r="A190" s="20">
        <v>1150</v>
      </c>
      <c r="B190" s="7" t="str">
        <f>VLOOKUP(A190,PipeN!$B$3:$D$48,2,FALSE)</f>
        <v>46"</v>
      </c>
      <c r="C190" s="7">
        <f>VLOOKUP(A190,PipeN!$B$3:$D$48,3,FALSE)</f>
        <v>1168</v>
      </c>
      <c r="D190" s="7"/>
      <c r="E190" s="20">
        <v>800</v>
      </c>
      <c r="F190" s="7" t="str">
        <f>VLOOKUP(E190,PipeN!$B$3:$D$48,2,FALSE)</f>
        <v>32"</v>
      </c>
      <c r="G190" s="7">
        <f>VLOOKUP(E190,PipeN!$B$3:$D$48,3,FALSE)</f>
        <v>813</v>
      </c>
      <c r="H190" s="7"/>
      <c r="I190" s="20"/>
      <c r="J190" s="20">
        <v>851</v>
      </c>
      <c r="K190" s="20">
        <v>749</v>
      </c>
    </row>
    <row r="191" spans="1:11" s="11" customFormat="1" x14ac:dyDescent="0.15">
      <c r="A191" s="20">
        <v>1150</v>
      </c>
      <c r="B191" s="7" t="str">
        <f>VLOOKUP(A191,PipeN!$B$3:$D$48,2,FALSE)</f>
        <v>46"</v>
      </c>
      <c r="C191" s="7">
        <f>VLOOKUP(A191,PipeN!$B$3:$D$48,3,FALSE)</f>
        <v>1168</v>
      </c>
      <c r="D191" s="7"/>
      <c r="E191" s="20">
        <v>750</v>
      </c>
      <c r="F191" s="7" t="str">
        <f>VLOOKUP(E191,PipeN!$B$3:$D$48,2,FALSE)</f>
        <v>30"</v>
      </c>
      <c r="G191" s="7">
        <f>VLOOKUP(E191,PipeN!$B$3:$D$48,3,FALSE)</f>
        <v>762</v>
      </c>
      <c r="H191" s="7"/>
      <c r="I191" s="20"/>
      <c r="J191" s="20">
        <v>851</v>
      </c>
      <c r="K191" s="20">
        <v>737</v>
      </c>
    </row>
    <row r="192" spans="1:11" s="11" customFormat="1" x14ac:dyDescent="0.15">
      <c r="A192" s="20">
        <v>1150</v>
      </c>
      <c r="B192" s="7" t="str">
        <f>VLOOKUP(A192,PipeN!$B$3:$D$48,2,FALSE)</f>
        <v>46"</v>
      </c>
      <c r="C192" s="7">
        <f>VLOOKUP(A192,PipeN!$B$3:$D$48,3,FALSE)</f>
        <v>1168</v>
      </c>
      <c r="D192" s="7"/>
      <c r="E192" s="20">
        <v>700</v>
      </c>
      <c r="F192" s="7" t="str">
        <f>VLOOKUP(E192,PipeN!$B$3:$D$48,2,FALSE)</f>
        <v>28"</v>
      </c>
      <c r="G192" s="7">
        <f>VLOOKUP(E192,PipeN!$B$3:$D$48,3,FALSE)</f>
        <v>711</v>
      </c>
      <c r="H192" s="7"/>
      <c r="I192" s="20"/>
      <c r="J192" s="20">
        <v>851</v>
      </c>
      <c r="K192" s="20">
        <v>737</v>
      </c>
    </row>
    <row r="193" spans="1:11" s="11" customFormat="1" x14ac:dyDescent="0.15">
      <c r="A193" s="20">
        <v>1150</v>
      </c>
      <c r="B193" s="7" t="str">
        <f>VLOOKUP(A193,PipeN!$B$3:$D$48,2,FALSE)</f>
        <v>46"</v>
      </c>
      <c r="C193" s="7">
        <f>VLOOKUP(A193,PipeN!$B$3:$D$48,3,FALSE)</f>
        <v>1168</v>
      </c>
      <c r="D193" s="7"/>
      <c r="E193" s="20">
        <v>650</v>
      </c>
      <c r="F193" s="7" t="str">
        <f>VLOOKUP(E193,PipeN!$B$3:$D$48,2,FALSE)</f>
        <v>26"</v>
      </c>
      <c r="G193" s="7">
        <f>VLOOKUP(E193,PipeN!$B$3:$D$48,3,FALSE)</f>
        <v>660</v>
      </c>
      <c r="H193" s="7"/>
      <c r="I193" s="20"/>
      <c r="J193" s="20">
        <v>851</v>
      </c>
      <c r="K193" s="20">
        <v>737</v>
      </c>
    </row>
    <row r="194" spans="1:11" s="11" customFormat="1" x14ac:dyDescent="0.15">
      <c r="A194" s="20">
        <v>1150</v>
      </c>
      <c r="B194" s="7" t="str">
        <f>VLOOKUP(A194,PipeN!$B$3:$D$48,2,FALSE)</f>
        <v>46"</v>
      </c>
      <c r="C194" s="7">
        <f>VLOOKUP(A194,PipeN!$B$3:$D$48,3,FALSE)</f>
        <v>1168</v>
      </c>
      <c r="D194" s="7"/>
      <c r="E194" s="20">
        <v>600</v>
      </c>
      <c r="F194" s="7" t="str">
        <f>VLOOKUP(E194,PipeN!$B$3:$D$48,2,FALSE)</f>
        <v>24"</v>
      </c>
      <c r="G194" s="7">
        <f>VLOOKUP(E194,PipeN!$B$3:$D$48,3,FALSE)</f>
        <v>610</v>
      </c>
      <c r="H194" s="7"/>
      <c r="I194" s="20"/>
      <c r="J194" s="20">
        <v>851</v>
      </c>
      <c r="K194" s="20">
        <v>724</v>
      </c>
    </row>
    <row r="195" spans="1:11" s="11" customFormat="1" x14ac:dyDescent="0.15">
      <c r="A195" s="20">
        <v>1150</v>
      </c>
      <c r="B195" s="7" t="str">
        <f>VLOOKUP(A195,PipeN!$B$3:$D$48,2,FALSE)</f>
        <v>46"</v>
      </c>
      <c r="C195" s="7">
        <f>VLOOKUP(A195,PipeN!$B$3:$D$48,3,FALSE)</f>
        <v>1168</v>
      </c>
      <c r="D195" s="7"/>
      <c r="E195" s="20">
        <v>550</v>
      </c>
      <c r="F195" s="7" t="str">
        <f>VLOOKUP(E195,PipeN!$B$3:$D$48,2,FALSE)</f>
        <v>22"</v>
      </c>
      <c r="G195" s="7">
        <f>VLOOKUP(E195,PipeN!$B$3:$D$48,3,FALSE)</f>
        <v>559</v>
      </c>
      <c r="H195" s="7"/>
      <c r="I195" s="20"/>
      <c r="J195" s="20">
        <v>851</v>
      </c>
      <c r="K195" s="20">
        <v>724</v>
      </c>
    </row>
    <row r="196" spans="1:11" x14ac:dyDescent="0.15">
      <c r="A196" s="20">
        <v>1200</v>
      </c>
      <c r="B196" s="7" t="str">
        <f>VLOOKUP(A196,PipeN!$B$3:$D$48,2,FALSE)</f>
        <v>48"</v>
      </c>
      <c r="C196" s="7">
        <f>VLOOKUP(A196,PipeN!$B$3:$D$48,3,FALSE)</f>
        <v>1219</v>
      </c>
      <c r="D196" s="7"/>
      <c r="E196" s="20">
        <v>1150</v>
      </c>
      <c r="F196" s="7" t="str">
        <f>VLOOKUP(E196,PipeN!$B$3:$D$48,2,FALSE)</f>
        <v>46"</v>
      </c>
      <c r="G196" s="7">
        <f>VLOOKUP(E196,PipeN!$B$3:$D$48,3,FALSE)</f>
        <v>1168</v>
      </c>
      <c r="H196" s="7"/>
      <c r="I196" s="20"/>
      <c r="J196" s="20">
        <v>889</v>
      </c>
      <c r="K196" s="20">
        <v>838</v>
      </c>
    </row>
    <row r="197" spans="1:11" s="11" customFormat="1" x14ac:dyDescent="0.15">
      <c r="A197" s="20">
        <v>1200</v>
      </c>
      <c r="B197" s="7" t="str">
        <f>VLOOKUP(A197,PipeN!$B$3:$D$48,2,FALSE)</f>
        <v>48"</v>
      </c>
      <c r="C197" s="7">
        <f>VLOOKUP(A197,PipeN!$B$3:$D$48,3,FALSE)</f>
        <v>1219</v>
      </c>
      <c r="D197" s="7"/>
      <c r="E197" s="20">
        <v>1100</v>
      </c>
      <c r="F197" s="7" t="str">
        <f>VLOOKUP(E197,PipeN!$B$3:$D$48,2,FALSE)</f>
        <v>44"</v>
      </c>
      <c r="G197" s="7">
        <f>VLOOKUP(E197,PipeN!$B$3:$D$48,3,FALSE)</f>
        <v>1118</v>
      </c>
      <c r="H197" s="7"/>
      <c r="I197" s="20"/>
      <c r="J197" s="20">
        <v>889</v>
      </c>
      <c r="K197" s="20">
        <v>838</v>
      </c>
    </row>
    <row r="198" spans="1:11" s="11" customFormat="1" x14ac:dyDescent="0.15">
      <c r="A198" s="20">
        <v>1200</v>
      </c>
      <c r="B198" s="7" t="str">
        <f>VLOOKUP(A198,PipeN!$B$3:$D$48,2,FALSE)</f>
        <v>48"</v>
      </c>
      <c r="C198" s="7">
        <f>VLOOKUP(A198,PipeN!$B$3:$D$48,3,FALSE)</f>
        <v>1219</v>
      </c>
      <c r="D198" s="7"/>
      <c r="E198" s="20">
        <v>1050</v>
      </c>
      <c r="F198" s="7" t="str">
        <f>VLOOKUP(E198,PipeN!$B$3:$D$48,2,FALSE)</f>
        <v>42"</v>
      </c>
      <c r="G198" s="7">
        <f>VLOOKUP(E198,PipeN!$B$3:$D$48,3,FALSE)</f>
        <v>1067</v>
      </c>
      <c r="H198" s="7"/>
      <c r="I198" s="20"/>
      <c r="J198" s="20">
        <v>889</v>
      </c>
      <c r="K198" s="20">
        <v>813</v>
      </c>
    </row>
    <row r="199" spans="1:11" s="11" customFormat="1" x14ac:dyDescent="0.15">
      <c r="A199" s="20">
        <v>1200</v>
      </c>
      <c r="B199" s="7" t="str">
        <f>VLOOKUP(A199,PipeN!$B$3:$D$48,2,FALSE)</f>
        <v>48"</v>
      </c>
      <c r="C199" s="7">
        <f>VLOOKUP(A199,PipeN!$B$3:$D$48,3,FALSE)</f>
        <v>1219</v>
      </c>
      <c r="D199" s="7"/>
      <c r="E199" s="20">
        <v>1000</v>
      </c>
      <c r="F199" s="7" t="str">
        <f>VLOOKUP(E199,PipeN!$B$3:$D$48,2,FALSE)</f>
        <v>40"</v>
      </c>
      <c r="G199" s="7">
        <f>VLOOKUP(E199,PipeN!$B$3:$D$48,3,FALSE)</f>
        <v>1016</v>
      </c>
      <c r="H199" s="7"/>
      <c r="I199" s="20"/>
      <c r="J199" s="20">
        <v>889</v>
      </c>
      <c r="K199" s="20">
        <v>813</v>
      </c>
    </row>
    <row r="200" spans="1:11" s="11" customFormat="1" x14ac:dyDescent="0.15">
      <c r="A200" s="20">
        <v>1200</v>
      </c>
      <c r="B200" s="7" t="str">
        <f>VLOOKUP(A200,PipeN!$B$3:$D$48,2,FALSE)</f>
        <v>48"</v>
      </c>
      <c r="C200" s="7">
        <f>VLOOKUP(A200,PipeN!$B$3:$D$48,3,FALSE)</f>
        <v>1219</v>
      </c>
      <c r="D200" s="7"/>
      <c r="E200" s="20">
        <v>950</v>
      </c>
      <c r="F200" s="7" t="str">
        <f>VLOOKUP(E200,PipeN!$B$3:$D$48,2,FALSE)</f>
        <v>38"</v>
      </c>
      <c r="G200" s="7">
        <f>VLOOKUP(E200,PipeN!$B$3:$D$48,3,FALSE)</f>
        <v>955</v>
      </c>
      <c r="H200" s="7"/>
      <c r="I200" s="20"/>
      <c r="J200" s="20">
        <v>889</v>
      </c>
      <c r="K200" s="20">
        <v>813</v>
      </c>
    </row>
    <row r="201" spans="1:11" s="11" customFormat="1" x14ac:dyDescent="0.15">
      <c r="A201" s="20">
        <v>1200</v>
      </c>
      <c r="B201" s="7" t="str">
        <f>VLOOKUP(A201,PipeN!$B$3:$D$48,2,FALSE)</f>
        <v>48"</v>
      </c>
      <c r="C201" s="7">
        <f>VLOOKUP(A201,PipeN!$B$3:$D$48,3,FALSE)</f>
        <v>1219</v>
      </c>
      <c r="D201" s="7"/>
      <c r="E201" s="20">
        <v>900</v>
      </c>
      <c r="F201" s="7" t="str">
        <f>VLOOKUP(E201,PipeN!$B$3:$D$48,2,FALSE)</f>
        <v>36"</v>
      </c>
      <c r="G201" s="7">
        <f>VLOOKUP(E201,PipeN!$B$3:$D$48,3,FALSE)</f>
        <v>914</v>
      </c>
      <c r="H201" s="7"/>
      <c r="I201" s="20"/>
      <c r="J201" s="20">
        <v>889</v>
      </c>
      <c r="K201" s="20">
        <v>787</v>
      </c>
    </row>
    <row r="202" spans="1:11" s="11" customFormat="1" x14ac:dyDescent="0.15">
      <c r="A202" s="20">
        <v>1200</v>
      </c>
      <c r="B202" s="7" t="str">
        <f>VLOOKUP(A202,PipeN!$B$3:$D$48,2,FALSE)</f>
        <v>48"</v>
      </c>
      <c r="C202" s="7">
        <f>VLOOKUP(A202,PipeN!$B$3:$D$48,3,FALSE)</f>
        <v>1219</v>
      </c>
      <c r="D202" s="7"/>
      <c r="E202" s="20">
        <v>850</v>
      </c>
      <c r="F202" s="7" t="str">
        <f>VLOOKUP(E202,PipeN!$B$3:$D$48,2,FALSE)</f>
        <v>34"</v>
      </c>
      <c r="G202" s="7">
        <f>VLOOKUP(E202,PipeN!$B$3:$D$48,3,FALSE)</f>
        <v>864</v>
      </c>
      <c r="H202" s="7"/>
      <c r="I202" s="20"/>
      <c r="J202" s="20">
        <v>889</v>
      </c>
      <c r="K202" s="20">
        <v>787</v>
      </c>
    </row>
    <row r="203" spans="1:11" s="11" customFormat="1" x14ac:dyDescent="0.15">
      <c r="A203" s="20">
        <v>1200</v>
      </c>
      <c r="B203" s="7" t="str">
        <f>VLOOKUP(A203,PipeN!$B$3:$D$48,2,FALSE)</f>
        <v>48"</v>
      </c>
      <c r="C203" s="7">
        <f>VLOOKUP(A203,PipeN!$B$3:$D$48,3,FALSE)</f>
        <v>1219</v>
      </c>
      <c r="D203" s="7"/>
      <c r="E203" s="20">
        <v>800</v>
      </c>
      <c r="F203" s="7" t="str">
        <f>VLOOKUP(E203,PipeN!$B$3:$D$48,2,FALSE)</f>
        <v>32"</v>
      </c>
      <c r="G203" s="7">
        <f>VLOOKUP(E203,PipeN!$B$3:$D$48,3,FALSE)</f>
        <v>813</v>
      </c>
      <c r="H203" s="7"/>
      <c r="I203" s="20"/>
      <c r="J203" s="20">
        <v>889</v>
      </c>
      <c r="K203" s="20">
        <v>787</v>
      </c>
    </row>
    <row r="204" spans="1:11" s="11" customFormat="1" x14ac:dyDescent="0.15">
      <c r="A204" s="20">
        <v>1200</v>
      </c>
      <c r="B204" s="7" t="str">
        <f>VLOOKUP(A204,PipeN!$B$3:$D$48,2,FALSE)</f>
        <v>48"</v>
      </c>
      <c r="C204" s="7">
        <f>VLOOKUP(A204,PipeN!$B$3:$D$48,3,FALSE)</f>
        <v>1219</v>
      </c>
      <c r="D204" s="7"/>
      <c r="E204" s="20">
        <v>750</v>
      </c>
      <c r="F204" s="7" t="str">
        <f>VLOOKUP(E204,PipeN!$B$3:$D$48,2,FALSE)</f>
        <v>30"</v>
      </c>
      <c r="G204" s="7">
        <f>VLOOKUP(E204,PipeN!$B$3:$D$48,3,FALSE)</f>
        <v>762</v>
      </c>
      <c r="H204" s="7"/>
      <c r="I204" s="20"/>
      <c r="J204" s="20">
        <v>889</v>
      </c>
      <c r="K204" s="20">
        <v>762</v>
      </c>
    </row>
    <row r="205" spans="1:11" s="11" customFormat="1" x14ac:dyDescent="0.15">
      <c r="A205" s="20">
        <v>1200</v>
      </c>
      <c r="B205" s="7" t="str">
        <f>VLOOKUP(A205,PipeN!$B$3:$D$48,2,FALSE)</f>
        <v>48"</v>
      </c>
      <c r="C205" s="7">
        <f>VLOOKUP(A205,PipeN!$B$3:$D$48,3,FALSE)</f>
        <v>1219</v>
      </c>
      <c r="D205" s="7"/>
      <c r="E205" s="20">
        <v>700</v>
      </c>
      <c r="F205" s="7" t="str">
        <f>VLOOKUP(E205,PipeN!$B$3:$D$48,2,FALSE)</f>
        <v>28"</v>
      </c>
      <c r="G205" s="7">
        <f>VLOOKUP(E205,PipeN!$B$3:$D$48,3,FALSE)</f>
        <v>711</v>
      </c>
      <c r="H205" s="7"/>
      <c r="I205" s="20"/>
      <c r="J205" s="20">
        <v>889</v>
      </c>
      <c r="K205" s="20">
        <v>762</v>
      </c>
    </row>
    <row r="206" spans="1:11" x14ac:dyDescent="0.15">
      <c r="A206" s="20">
        <v>1200</v>
      </c>
      <c r="B206" s="7" t="str">
        <f>VLOOKUP(A206,PipeN!$B$3:$D$48,2,FALSE)</f>
        <v>48"</v>
      </c>
      <c r="C206" s="7">
        <f>VLOOKUP(A206,PipeN!$B$3:$D$48,3,FALSE)</f>
        <v>1219</v>
      </c>
      <c r="D206" s="7"/>
      <c r="E206" s="20">
        <v>650</v>
      </c>
      <c r="F206" s="7" t="str">
        <f>VLOOKUP(E206,PipeN!$B$3:$D$48,2,FALSE)</f>
        <v>26"</v>
      </c>
      <c r="G206" s="7">
        <f>VLOOKUP(E206,PipeN!$B$3:$D$48,3,FALSE)</f>
        <v>660</v>
      </c>
      <c r="H206" s="7"/>
      <c r="I206" s="20"/>
      <c r="J206" s="20">
        <v>889</v>
      </c>
      <c r="K206" s="20">
        <v>762</v>
      </c>
    </row>
    <row r="207" spans="1:11" s="11" customFormat="1" x14ac:dyDescent="0.15">
      <c r="A207" s="20">
        <v>1200</v>
      </c>
      <c r="B207" s="7" t="str">
        <f>VLOOKUP(A207,PipeN!$B$3:$D$48,2,FALSE)</f>
        <v>48"</v>
      </c>
      <c r="C207" s="7">
        <f>VLOOKUP(A207,PipeN!$B$3:$D$48,3,FALSE)</f>
        <v>1219</v>
      </c>
      <c r="D207" s="7"/>
      <c r="E207" s="20">
        <v>600</v>
      </c>
      <c r="F207" s="7" t="str">
        <f>VLOOKUP(E207,PipeN!$B$3:$D$48,2,FALSE)</f>
        <v>24"</v>
      </c>
      <c r="G207" s="7">
        <f>VLOOKUP(E207,PipeN!$B$3:$D$48,3,FALSE)</f>
        <v>610</v>
      </c>
      <c r="H207" s="7"/>
      <c r="I207" s="20"/>
      <c r="J207" s="20">
        <v>889</v>
      </c>
      <c r="K207" s="20">
        <v>737</v>
      </c>
    </row>
    <row r="208" spans="1:11" x14ac:dyDescent="0.15">
      <c r="A208" s="20">
        <v>1200</v>
      </c>
      <c r="B208" s="7" t="str">
        <f>VLOOKUP(A208,PipeN!$B$3:$D$48,2,FALSE)</f>
        <v>48"</v>
      </c>
      <c r="C208" s="7">
        <f>VLOOKUP(A208,PipeN!$B$3:$D$48,3,FALSE)</f>
        <v>1219</v>
      </c>
      <c r="D208" s="7"/>
      <c r="E208" s="20">
        <v>550</v>
      </c>
      <c r="F208" s="7" t="str">
        <f>VLOOKUP(E208,PipeN!$B$3:$D$48,2,FALSE)</f>
        <v>22"</v>
      </c>
      <c r="G208" s="7">
        <f>VLOOKUP(E208,PipeN!$B$3:$D$48,3,FALSE)</f>
        <v>559</v>
      </c>
      <c r="H208" s="7"/>
      <c r="I208" s="20"/>
      <c r="J208" s="20">
        <v>889</v>
      </c>
      <c r="K208" s="20">
        <v>737</v>
      </c>
    </row>
    <row r="209" spans="1:11" x14ac:dyDescent="0.15">
      <c r="A209" s="20">
        <v>1300</v>
      </c>
      <c r="B209" s="7" t="str">
        <f>VLOOKUP(A209,PipeN!$B$3:$D$48,2,FALSE)</f>
        <v>52"</v>
      </c>
      <c r="C209" s="7">
        <f>VLOOKUP(A209,PipeN!$B$3:$D$48,3,FALSE)</f>
        <v>1321</v>
      </c>
      <c r="D209" s="7"/>
      <c r="E209" s="23">
        <v>1200</v>
      </c>
      <c r="F209" s="7" t="str">
        <f>VLOOKUP(E209,PipeN!$B$3:$D$48,2,FALSE)</f>
        <v>48"</v>
      </c>
      <c r="G209" s="7">
        <f>VLOOKUP(E209,PipeN!$B$3:$D$48,3,FALSE)</f>
        <v>1219</v>
      </c>
      <c r="H209" s="7"/>
      <c r="I209" s="20"/>
      <c r="J209" s="20">
        <v>978</v>
      </c>
      <c r="K209" s="20">
        <v>908</v>
      </c>
    </row>
    <row r="210" spans="1:11" s="11" customFormat="1" x14ac:dyDescent="0.15">
      <c r="A210" s="20">
        <v>1300</v>
      </c>
      <c r="B210" s="7" t="str">
        <f>VLOOKUP(A210,PipeN!$B$3:$D$48,2,FALSE)</f>
        <v>52"</v>
      </c>
      <c r="C210" s="7">
        <f>VLOOKUP(A210,PipeN!$B$3:$D$48,3,FALSE)</f>
        <v>1321</v>
      </c>
      <c r="D210" s="7"/>
      <c r="E210" s="20">
        <v>1100</v>
      </c>
      <c r="F210" s="7" t="str">
        <f>VLOOKUP(E210,PipeN!$B$3:$D$48,2,FALSE)</f>
        <v>44"</v>
      </c>
      <c r="G210" s="7">
        <f>VLOOKUP(E210,PipeN!$B$3:$D$48,3,FALSE)</f>
        <v>1118</v>
      </c>
      <c r="H210" s="7"/>
      <c r="I210" s="20"/>
      <c r="J210" s="20">
        <v>978</v>
      </c>
      <c r="K210" s="20">
        <v>892</v>
      </c>
    </row>
    <row r="211" spans="1:11" s="11" customFormat="1" x14ac:dyDescent="0.15">
      <c r="A211" s="20">
        <v>1300</v>
      </c>
      <c r="B211" s="7" t="str">
        <f>VLOOKUP(A211,PipeN!$B$3:$D$48,2,FALSE)</f>
        <v>52"</v>
      </c>
      <c r="C211" s="7">
        <f>VLOOKUP(A211,PipeN!$B$3:$D$48,3,FALSE)</f>
        <v>1321</v>
      </c>
      <c r="D211" s="7"/>
      <c r="E211" s="20">
        <v>1050</v>
      </c>
      <c r="F211" s="7" t="str">
        <f>VLOOKUP(E211,PipeN!$B$3:$D$48,2,FALSE)</f>
        <v>42"</v>
      </c>
      <c r="G211" s="7">
        <f>VLOOKUP(E211,PipeN!$B$3:$D$48,3,FALSE)</f>
        <v>1067</v>
      </c>
      <c r="H211" s="7"/>
      <c r="I211" s="20"/>
      <c r="J211" s="20">
        <v>978</v>
      </c>
      <c r="K211" s="20">
        <v>876</v>
      </c>
    </row>
    <row r="212" spans="1:11" s="11" customFormat="1" x14ac:dyDescent="0.15">
      <c r="A212" s="20">
        <v>1300</v>
      </c>
      <c r="B212" s="7" t="str">
        <f>VLOOKUP(A212,PipeN!$B$3:$D$48,2,FALSE)</f>
        <v>52"</v>
      </c>
      <c r="C212" s="7">
        <f>VLOOKUP(A212,PipeN!$B$3:$D$48,3,FALSE)</f>
        <v>1321</v>
      </c>
      <c r="D212" s="7"/>
      <c r="E212" s="20">
        <v>1000</v>
      </c>
      <c r="F212" s="7" t="str">
        <f>VLOOKUP(E212,PipeN!$B$3:$D$48,2,FALSE)</f>
        <v>40"</v>
      </c>
      <c r="G212" s="7">
        <f>VLOOKUP(E212,PipeN!$B$3:$D$48,3,FALSE)</f>
        <v>1016</v>
      </c>
      <c r="H212" s="7"/>
      <c r="I212" s="20"/>
      <c r="J212" s="20">
        <v>978</v>
      </c>
      <c r="K212" s="20">
        <v>870</v>
      </c>
    </row>
    <row r="213" spans="1:11" s="11" customFormat="1" x14ac:dyDescent="0.15">
      <c r="A213" s="20">
        <v>1300</v>
      </c>
      <c r="B213" s="7" t="str">
        <f>VLOOKUP(A213,PipeN!$B$3:$D$48,2,FALSE)</f>
        <v>52"</v>
      </c>
      <c r="C213" s="7">
        <f>VLOOKUP(A213,PipeN!$B$3:$D$48,3,FALSE)</f>
        <v>1321</v>
      </c>
      <c r="D213" s="7"/>
      <c r="E213" s="20">
        <v>900</v>
      </c>
      <c r="F213" s="7" t="str">
        <f>VLOOKUP(E213,PipeN!$B$3:$D$48,2,FALSE)</f>
        <v>36"</v>
      </c>
      <c r="G213" s="7">
        <f>VLOOKUP(E213,PipeN!$B$3:$D$48,3,FALSE)</f>
        <v>914</v>
      </c>
      <c r="H213" s="7"/>
      <c r="I213" s="20"/>
      <c r="J213" s="20">
        <v>978</v>
      </c>
      <c r="K213" s="20">
        <v>864</v>
      </c>
    </row>
    <row r="214" spans="1:11" s="11" customFormat="1" x14ac:dyDescent="0.15">
      <c r="A214" s="20">
        <v>1300</v>
      </c>
      <c r="B214" s="7" t="str">
        <f>VLOOKUP(A214,PipeN!$B$3:$D$48,2,FALSE)</f>
        <v>52"</v>
      </c>
      <c r="C214" s="7">
        <f>VLOOKUP(A214,PipeN!$B$3:$D$48,3,FALSE)</f>
        <v>1321</v>
      </c>
      <c r="D214" s="7"/>
      <c r="E214" s="20">
        <v>750</v>
      </c>
      <c r="F214" s="7" t="str">
        <f>VLOOKUP(E214,PipeN!$B$3:$D$48,2,FALSE)</f>
        <v>30"</v>
      </c>
      <c r="G214" s="7">
        <f>VLOOKUP(E214,PipeN!$B$3:$D$48,3,FALSE)</f>
        <v>762</v>
      </c>
      <c r="H214" s="7"/>
      <c r="I214" s="20"/>
      <c r="J214" s="20">
        <v>978</v>
      </c>
      <c r="K214" s="20">
        <v>832</v>
      </c>
    </row>
    <row r="215" spans="1:11" s="11" customFormat="1" x14ac:dyDescent="0.15">
      <c r="A215" s="20">
        <v>1300</v>
      </c>
      <c r="B215" s="7" t="str">
        <f>VLOOKUP(A215,PipeN!$B$3:$D$48,2,FALSE)</f>
        <v>52"</v>
      </c>
      <c r="C215" s="7">
        <f>VLOOKUP(A215,PipeN!$B$3:$D$48,3,FALSE)</f>
        <v>1321</v>
      </c>
      <c r="D215" s="7"/>
      <c r="E215" s="20">
        <v>600</v>
      </c>
      <c r="F215" s="7" t="str">
        <f>VLOOKUP(E215,PipeN!$B$3:$D$48,2,FALSE)</f>
        <v>24"</v>
      </c>
      <c r="G215" s="7">
        <f>VLOOKUP(E215,PipeN!$B$3:$D$48,3,FALSE)</f>
        <v>610</v>
      </c>
      <c r="H215" s="7"/>
      <c r="I215" s="20"/>
      <c r="J215" s="20">
        <v>978</v>
      </c>
      <c r="K215" s="20">
        <v>794</v>
      </c>
    </row>
    <row r="216" spans="1:11" s="11" customFormat="1" x14ac:dyDescent="0.15">
      <c r="A216" s="20">
        <v>1400</v>
      </c>
      <c r="B216" s="7" t="str">
        <f>VLOOKUP(A216,PipeN!$B$3:$D$48,2,FALSE)</f>
        <v>56"</v>
      </c>
      <c r="C216" s="7">
        <f>VLOOKUP(A216,PipeN!$B$3:$D$48,3,FALSE)</f>
        <v>1422</v>
      </c>
      <c r="D216" s="7"/>
      <c r="E216" s="23">
        <v>1300</v>
      </c>
      <c r="F216" s="7" t="str">
        <f>VLOOKUP(E216,PipeN!$B$3:$D$48,2,FALSE)</f>
        <v>52"</v>
      </c>
      <c r="G216" s="7">
        <f>VLOOKUP(E216,PipeN!$B$3:$D$48,3,FALSE)</f>
        <v>1321</v>
      </c>
      <c r="H216" s="7"/>
      <c r="I216" s="20"/>
      <c r="J216" s="20">
        <v>1054</v>
      </c>
      <c r="K216" s="20">
        <v>959</v>
      </c>
    </row>
    <row r="217" spans="1:11" s="11" customFormat="1" x14ac:dyDescent="0.15">
      <c r="A217" s="20">
        <v>1400</v>
      </c>
      <c r="B217" s="7" t="str">
        <f>VLOOKUP(A217,PipeN!$B$3:$D$48,2,FALSE)</f>
        <v>56"</v>
      </c>
      <c r="C217" s="7">
        <f>VLOOKUP(A217,PipeN!$B$3:$D$48,3,FALSE)</f>
        <v>1422</v>
      </c>
      <c r="D217" s="7"/>
      <c r="E217" s="20">
        <v>1200</v>
      </c>
      <c r="F217" s="7" t="str">
        <f>VLOOKUP(E217,PipeN!$B$3:$D$48,2,FALSE)</f>
        <v>48"</v>
      </c>
      <c r="G217" s="7">
        <f>VLOOKUP(E217,PipeN!$B$3:$D$48,3,FALSE)</f>
        <v>1219</v>
      </c>
      <c r="H217" s="7"/>
      <c r="I217" s="20"/>
      <c r="J217" s="20">
        <v>1054</v>
      </c>
      <c r="K217" s="20">
        <v>940</v>
      </c>
    </row>
    <row r="218" spans="1:11" s="11" customFormat="1" x14ac:dyDescent="0.15">
      <c r="A218" s="20">
        <v>1400</v>
      </c>
      <c r="B218" s="7" t="str">
        <f>VLOOKUP(A218,PipeN!$B$3:$D$48,2,FALSE)</f>
        <v>56"</v>
      </c>
      <c r="C218" s="7">
        <f>VLOOKUP(A218,PipeN!$B$3:$D$48,3,FALSE)</f>
        <v>1422</v>
      </c>
      <c r="D218" s="7"/>
      <c r="E218" s="20">
        <v>1100</v>
      </c>
      <c r="F218" s="7" t="str">
        <f>VLOOKUP(E218,PipeN!$B$3:$D$48,2,FALSE)</f>
        <v>44"</v>
      </c>
      <c r="G218" s="7">
        <f>VLOOKUP(E218,PipeN!$B$3:$D$48,3,FALSE)</f>
        <v>1118</v>
      </c>
      <c r="H218" s="7"/>
      <c r="I218" s="20"/>
      <c r="J218" s="20">
        <v>1054</v>
      </c>
      <c r="K218" s="20">
        <v>934</v>
      </c>
    </row>
    <row r="219" spans="1:11" s="11" customFormat="1" x14ac:dyDescent="0.15">
      <c r="A219" s="20">
        <v>1400</v>
      </c>
      <c r="B219" s="7" t="str">
        <f>VLOOKUP(A219,PipeN!$B$3:$D$48,2,FALSE)</f>
        <v>56"</v>
      </c>
      <c r="C219" s="7">
        <f>VLOOKUP(A219,PipeN!$B$3:$D$48,3,FALSE)</f>
        <v>1422</v>
      </c>
      <c r="D219" s="7"/>
      <c r="E219" s="20">
        <v>1050</v>
      </c>
      <c r="F219" s="7" t="str">
        <f>VLOOKUP(E219,PipeN!$B$3:$D$48,2,FALSE)</f>
        <v>42"</v>
      </c>
      <c r="G219" s="7">
        <f>VLOOKUP(E219,PipeN!$B$3:$D$48,3,FALSE)</f>
        <v>1067</v>
      </c>
      <c r="H219" s="7"/>
      <c r="I219" s="20"/>
      <c r="J219" s="20">
        <v>1054</v>
      </c>
      <c r="K219" s="20">
        <v>927</v>
      </c>
    </row>
    <row r="220" spans="1:11" s="11" customFormat="1" x14ac:dyDescent="0.15">
      <c r="A220" s="20">
        <v>1400</v>
      </c>
      <c r="B220" s="7" t="str">
        <f>VLOOKUP(A220,PipeN!$B$3:$D$48,2,FALSE)</f>
        <v>56"</v>
      </c>
      <c r="C220" s="7">
        <f>VLOOKUP(A220,PipeN!$B$3:$D$48,3,FALSE)</f>
        <v>1422</v>
      </c>
      <c r="D220" s="7"/>
      <c r="E220" s="20">
        <v>900</v>
      </c>
      <c r="F220" s="7" t="str">
        <f>VLOOKUP(E220,PipeN!$B$3:$D$48,2,FALSE)</f>
        <v>36"</v>
      </c>
      <c r="G220" s="7">
        <f>VLOOKUP(E220,PipeN!$B$3:$D$48,3,FALSE)</f>
        <v>914</v>
      </c>
      <c r="H220" s="7"/>
      <c r="I220" s="20"/>
      <c r="J220" s="20">
        <v>1054</v>
      </c>
      <c r="K220" s="20">
        <v>902</v>
      </c>
    </row>
    <row r="221" spans="1:11" s="11" customFormat="1" x14ac:dyDescent="0.15">
      <c r="A221" s="20">
        <v>1400</v>
      </c>
      <c r="B221" s="7" t="str">
        <f>VLOOKUP(A221,PipeN!$B$3:$D$48,2,FALSE)</f>
        <v>56"</v>
      </c>
      <c r="C221" s="7">
        <f>VLOOKUP(A221,PipeN!$B$3:$D$48,3,FALSE)</f>
        <v>1422</v>
      </c>
      <c r="D221" s="7"/>
      <c r="E221" s="20">
        <v>750</v>
      </c>
      <c r="F221" s="7" t="str">
        <f>VLOOKUP(E221,PipeN!$B$3:$D$48,2,FALSE)</f>
        <v>30"</v>
      </c>
      <c r="G221" s="7">
        <f>VLOOKUP(E221,PipeN!$B$3:$D$48,3,FALSE)</f>
        <v>762</v>
      </c>
      <c r="H221" s="7"/>
      <c r="I221" s="20"/>
      <c r="J221" s="20">
        <v>1054</v>
      </c>
      <c r="K221" s="20">
        <v>857</v>
      </c>
    </row>
    <row r="222" spans="1:11" s="11" customFormat="1" x14ac:dyDescent="0.15">
      <c r="A222" s="20">
        <v>1400</v>
      </c>
      <c r="B222" s="7" t="str">
        <f>VLOOKUP(A222,PipeN!$B$3:$D$48,2,FALSE)</f>
        <v>56"</v>
      </c>
      <c r="C222" s="7">
        <f>VLOOKUP(A222,PipeN!$B$3:$D$48,3,FALSE)</f>
        <v>1422</v>
      </c>
      <c r="D222" s="7"/>
      <c r="E222" s="13">
        <v>600</v>
      </c>
      <c r="F222" s="7" t="str">
        <f>VLOOKUP(E222,PipeN!$B$3:$D$48,2,FALSE)</f>
        <v>24"</v>
      </c>
      <c r="G222" s="7">
        <f>VLOOKUP(E222,PipeN!$B$3:$D$48,3,FALSE)</f>
        <v>610</v>
      </c>
      <c r="H222" s="7"/>
      <c r="I222" s="20"/>
      <c r="J222" s="20">
        <v>1054</v>
      </c>
      <c r="K222" s="20">
        <v>857</v>
      </c>
    </row>
    <row r="223" spans="1:11" s="11" customFormat="1" x14ac:dyDescent="0.15">
      <c r="A223" s="20">
        <v>1500</v>
      </c>
      <c r="B223" s="7" t="str">
        <f>VLOOKUP(A223,PipeN!$B$3:$D$48,2,FALSE)</f>
        <v>60"</v>
      </c>
      <c r="C223" s="7">
        <f>VLOOKUP(A223,PipeN!$B$3:$D$48,3,FALSE)</f>
        <v>1524</v>
      </c>
      <c r="D223" s="7"/>
      <c r="E223" s="13">
        <v>1400</v>
      </c>
      <c r="F223" s="7" t="str">
        <f>VLOOKUP(E223,PipeN!$B$3:$D$48,2,FALSE)</f>
        <v>56"</v>
      </c>
      <c r="G223" s="7">
        <f>VLOOKUP(E223,PipeN!$B$3:$D$48,3,FALSE)</f>
        <v>1422</v>
      </c>
      <c r="H223" s="7"/>
      <c r="I223" s="20"/>
      <c r="J223" s="20">
        <v>1118</v>
      </c>
      <c r="K223" s="20">
        <v>1041</v>
      </c>
    </row>
    <row r="224" spans="1:11" s="11" customFormat="1" x14ac:dyDescent="0.15">
      <c r="A224" s="20">
        <v>1500</v>
      </c>
      <c r="B224" s="7" t="str">
        <f>VLOOKUP(A224,PipeN!$B$3:$D$48,2,FALSE)</f>
        <v>60"</v>
      </c>
      <c r="C224" s="7">
        <f>VLOOKUP(A224,PipeN!$B$3:$D$48,3,FALSE)</f>
        <v>1524</v>
      </c>
      <c r="D224" s="7"/>
      <c r="E224" s="13">
        <v>1300</v>
      </c>
      <c r="F224" s="7" t="str">
        <f>VLOOKUP(E224,PipeN!$B$3:$D$48,2,FALSE)</f>
        <v>52"</v>
      </c>
      <c r="G224" s="7">
        <f>VLOOKUP(E224,PipeN!$B$3:$D$48,3,FALSE)</f>
        <v>1321</v>
      </c>
      <c r="H224" s="7"/>
      <c r="I224" s="20"/>
      <c r="J224" s="20">
        <v>1118</v>
      </c>
      <c r="K224" s="20">
        <v>1022</v>
      </c>
    </row>
    <row r="225" spans="1:11" x14ac:dyDescent="0.15">
      <c r="A225" s="20">
        <v>1500</v>
      </c>
      <c r="B225" s="7" t="str">
        <f>VLOOKUP(A225,PipeN!$B$3:$D$48,2,FALSE)</f>
        <v>60"</v>
      </c>
      <c r="C225" s="7">
        <f>VLOOKUP(A225,PipeN!$B$3:$D$48,3,FALSE)</f>
        <v>1524</v>
      </c>
      <c r="D225" s="7"/>
      <c r="E225" s="13">
        <v>1200</v>
      </c>
      <c r="F225" s="7" t="str">
        <f>VLOOKUP(E225,PipeN!$B$3:$D$48,2,FALSE)</f>
        <v>48"</v>
      </c>
      <c r="G225" s="7">
        <f>VLOOKUP(E225,PipeN!$B$3:$D$48,3,FALSE)</f>
        <v>1219</v>
      </c>
      <c r="H225" s="7"/>
      <c r="I225" s="20"/>
      <c r="J225" s="20">
        <v>1118</v>
      </c>
      <c r="K225" s="20">
        <v>1016</v>
      </c>
    </row>
    <row r="226" spans="1:11" x14ac:dyDescent="0.15">
      <c r="A226" s="20">
        <v>1500</v>
      </c>
      <c r="B226" s="7" t="str">
        <f>VLOOKUP(A226,PipeN!$B$3:$D$48,2,FALSE)</f>
        <v>60"</v>
      </c>
      <c r="C226" s="7">
        <f>VLOOKUP(A226,PipeN!$B$3:$D$48,3,FALSE)</f>
        <v>1524</v>
      </c>
      <c r="D226" s="7"/>
      <c r="E226" s="13">
        <v>1050</v>
      </c>
      <c r="F226" s="7" t="str">
        <f>VLOOKUP(E226,PipeN!$B$3:$D$48,2,FALSE)</f>
        <v>42"</v>
      </c>
      <c r="G226" s="7">
        <f>VLOOKUP(E226,PipeN!$B$3:$D$48,3,FALSE)</f>
        <v>1067</v>
      </c>
      <c r="H226" s="7"/>
      <c r="I226" s="20"/>
      <c r="J226" s="20">
        <v>1118</v>
      </c>
      <c r="K226" s="13">
        <v>991</v>
      </c>
    </row>
    <row r="227" spans="1:11" x14ac:dyDescent="0.15">
      <c r="A227" s="20">
        <v>1500</v>
      </c>
      <c r="B227" s="7" t="str">
        <f>VLOOKUP(A227,PipeN!$B$3:$D$48,2,FALSE)</f>
        <v>60"</v>
      </c>
      <c r="C227" s="7">
        <f>VLOOKUP(A227,PipeN!$B$3:$D$48,3,FALSE)</f>
        <v>1524</v>
      </c>
      <c r="D227" s="7"/>
      <c r="E227" s="13">
        <v>900</v>
      </c>
      <c r="F227" s="7" t="str">
        <f>VLOOKUP(E227,PipeN!$B$3:$D$48,2,FALSE)</f>
        <v>36"</v>
      </c>
      <c r="G227" s="7">
        <f>VLOOKUP(E227,PipeN!$B$3:$D$48,3,FALSE)</f>
        <v>914</v>
      </c>
      <c r="H227" s="7"/>
      <c r="I227" s="20"/>
      <c r="J227" s="20">
        <v>1118</v>
      </c>
      <c r="K227" s="13">
        <v>965</v>
      </c>
    </row>
    <row r="228" spans="1:11" x14ac:dyDescent="0.15">
      <c r="A228" s="20">
        <v>1500</v>
      </c>
      <c r="B228" s="7" t="str">
        <f>VLOOKUP(A228,PipeN!$B$3:$D$48,2,FALSE)</f>
        <v>60"</v>
      </c>
      <c r="C228" s="7">
        <f>VLOOKUP(A228,PipeN!$B$3:$D$48,3,FALSE)</f>
        <v>1524</v>
      </c>
      <c r="D228" s="7"/>
      <c r="E228" s="13">
        <v>750</v>
      </c>
      <c r="F228" s="7" t="str">
        <f>VLOOKUP(E228,PipeN!$B$3:$D$48,2,FALSE)</f>
        <v>30"</v>
      </c>
      <c r="G228" s="7">
        <f>VLOOKUP(E228,PipeN!$B$3:$D$48,3,FALSE)</f>
        <v>762</v>
      </c>
      <c r="H228" s="7"/>
      <c r="I228" s="20"/>
      <c r="J228" s="20">
        <v>1118</v>
      </c>
      <c r="K228" s="13">
        <v>914</v>
      </c>
    </row>
  </sheetData>
  <mergeCells count="2">
    <mergeCell ref="J1:K1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24" sqref="G24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PipeN</vt:lpstr>
      <vt:lpstr>Pipe</vt:lpstr>
      <vt:lpstr>PipeC</vt:lpstr>
      <vt:lpstr>PipeT</vt:lpstr>
      <vt:lpstr>PipeR</vt:lpstr>
      <vt:lpstr>test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谢全利</cp:lastModifiedBy>
  <dcterms:created xsi:type="dcterms:W3CDTF">2020-03-15T06:57:24Z</dcterms:created>
  <dcterms:modified xsi:type="dcterms:W3CDTF">2024-05-14T09:33:57Z</dcterms:modified>
</cp:coreProperties>
</file>