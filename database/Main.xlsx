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-195" yWindow="1335" windowWidth="16950" windowHeight="2850" activeTab="8"/>
  </bookViews>
  <sheets>
    <sheet name="key_mode" sheetId="10" r:id="rId1"/>
    <sheet name="default_data" sheetId="2" r:id="rId2"/>
    <sheet name="Equipment" sheetId="1" r:id="rId3"/>
    <sheet name="Shell" sheetId="4" r:id="rId4"/>
    <sheet name="NozzleFlange" sheetId="5" r:id="rId5"/>
    <sheet name="VesselFlange" sheetId="6" r:id="rId6"/>
    <sheet name="Pipe" sheetId="7" r:id="rId7"/>
    <sheet name="Support" sheetId="8" r:id="rId8"/>
    <sheet name="ManWay" sheetId="9" r:id="rId9"/>
    <sheet name="LiftingLug" sheetId="3" r:id="rId10"/>
  </sheets>
  <definedNames>
    <definedName name="_xlnm._FilterDatabase" localSheetId="8" hidden="1">ManWay!$E$1:$L$71</definedName>
    <definedName name="_xlnm.Print_Area" localSheetId="8">ManWay!$E$2:$L$71</definedName>
  </definedNames>
  <calcPr calcId="162913" iterate="1"/>
</workbook>
</file>

<file path=xl/calcChain.xml><?xml version="1.0" encoding="utf-8"?>
<calcChain xmlns="http://schemas.openxmlformats.org/spreadsheetml/2006/main">
  <c r="F30" i="4" l="1"/>
  <c r="B1" i="3" l="1"/>
  <c r="C1" i="3"/>
  <c r="B1" i="4" l="1"/>
  <c r="C2" i="10" l="1"/>
  <c r="B2" i="10"/>
  <c r="F71" i="9" l="1"/>
  <c r="F70" i="9"/>
  <c r="F69" i="9"/>
  <c r="F68" i="9"/>
  <c r="F67" i="9"/>
  <c r="F66" i="9"/>
  <c r="F59" i="9"/>
  <c r="F60" i="9"/>
  <c r="F61" i="9"/>
  <c r="F62" i="9"/>
  <c r="F63" i="9"/>
  <c r="F64" i="9"/>
  <c r="F65" i="9"/>
  <c r="F58" i="9"/>
  <c r="F57" i="9"/>
  <c r="F56" i="9"/>
  <c r="F55" i="9"/>
  <c r="F54" i="9"/>
  <c r="F53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1" i="9"/>
  <c r="F52" i="9"/>
  <c r="F50" i="9"/>
</calcChain>
</file>

<file path=xl/comments1.xml><?xml version="1.0" encoding="utf-8"?>
<comments xmlns="http://schemas.openxmlformats.org/spreadsheetml/2006/main">
  <authors>
    <author>作者</author>
  </authors>
  <commentList>
    <comment ref="L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#数据格式[管件标准,类型,管子系列,公称直径1,公称直径2,壁厚,无缝/有缝,数据1,数据2...]</t>
        </r>
      </text>
    </comment>
    <comment ref="O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L</t>
        </r>
      </text>
    </comment>
    <comment ref="P6" authorId="0" shape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L</t>
        </r>
      </text>
    </comment>
  </commentList>
</comments>
</file>

<file path=xl/sharedStrings.xml><?xml version="1.0" encoding="utf-8"?>
<sst xmlns="http://schemas.openxmlformats.org/spreadsheetml/2006/main" count="2206" uniqueCount="1272">
  <si>
    <r>
      <rPr>
        <sz val="11"/>
        <color theme="1"/>
        <rFont val="楷体"/>
        <family val="3"/>
        <charset val="134"/>
      </rPr>
      <t>序号</t>
    </r>
    <phoneticPr fontId="2" type="noConversion"/>
  </si>
  <si>
    <r>
      <rPr>
        <sz val="12"/>
        <color theme="1"/>
        <rFont val="楷体"/>
        <family val="3"/>
        <charset val="134"/>
      </rPr>
      <t>设备类型</t>
    </r>
    <phoneticPr fontId="2" type="noConversion"/>
  </si>
  <si>
    <t>吊耳</t>
    <phoneticPr fontId="2" type="noConversion"/>
  </si>
  <si>
    <t>LiftingLug</t>
    <phoneticPr fontId="2" type="noConversion"/>
  </si>
  <si>
    <t>类型</t>
    <phoneticPr fontId="2" type="noConversion"/>
  </si>
  <si>
    <t>类型代号</t>
    <phoneticPr fontId="2" type="noConversion"/>
  </si>
  <si>
    <t>顶部板式吊耳</t>
    <phoneticPr fontId="2" type="noConversion"/>
  </si>
  <si>
    <t>卧式设备板式吊耳</t>
    <phoneticPr fontId="2" type="noConversion"/>
  </si>
  <si>
    <t>HP</t>
    <phoneticPr fontId="2" type="noConversion"/>
  </si>
  <si>
    <t>侧壁式板式吊耳</t>
    <phoneticPr fontId="2" type="noConversion"/>
  </si>
  <si>
    <t>SP</t>
    <phoneticPr fontId="2" type="noConversion"/>
  </si>
  <si>
    <t>轴式吊耳</t>
    <phoneticPr fontId="2" type="noConversion"/>
  </si>
  <si>
    <t>序号</t>
    <phoneticPr fontId="2" type="noConversion"/>
  </si>
  <si>
    <t>尾部吊耳</t>
    <phoneticPr fontId="2" type="noConversion"/>
  </si>
  <si>
    <t>TPA</t>
    <phoneticPr fontId="2" type="noConversion"/>
  </si>
  <si>
    <t>TPB</t>
    <phoneticPr fontId="2" type="noConversion"/>
  </si>
  <si>
    <t>AXA</t>
    <phoneticPr fontId="2" type="noConversion"/>
  </si>
  <si>
    <t>AXB</t>
    <phoneticPr fontId="2" type="noConversion"/>
  </si>
  <si>
    <t>AXC</t>
    <phoneticPr fontId="2" type="noConversion"/>
  </si>
  <si>
    <t>APA</t>
    <phoneticPr fontId="2" type="noConversion"/>
  </si>
  <si>
    <t>APB</t>
    <phoneticPr fontId="2" type="noConversion"/>
  </si>
  <si>
    <t>图片1名称</t>
    <phoneticPr fontId="2" type="noConversion"/>
  </si>
  <si>
    <t>标准号</t>
    <phoneticPr fontId="2" type="noConversion"/>
  </si>
  <si>
    <t>HG/T 21574-2018</t>
    <phoneticPr fontId="2" type="noConversion"/>
  </si>
  <si>
    <t>默认值</t>
    <phoneticPr fontId="2" type="noConversion"/>
  </si>
  <si>
    <t>无</t>
    <phoneticPr fontId="2" type="noConversion"/>
  </si>
  <si>
    <t>GB/T 25198-2010</t>
  </si>
  <si>
    <t>筒体</t>
  </si>
  <si>
    <t>筒体(带复合层)</t>
  </si>
  <si>
    <t>锥壳</t>
  </si>
  <si>
    <t>锥壳(带复合层)</t>
  </si>
  <si>
    <t>圆环板</t>
  </si>
  <si>
    <t>椭圆封头 EHA</t>
  </si>
  <si>
    <t>椭圆封头 EHA(带复合层)</t>
  </si>
  <si>
    <t>椭圆封头 EHB</t>
  </si>
  <si>
    <t>椭圆封头 EHB(带复合层)</t>
  </si>
  <si>
    <t>直径1</t>
    <phoneticPr fontId="2" type="noConversion"/>
  </si>
  <si>
    <t>直径2</t>
    <phoneticPr fontId="2" type="noConversion"/>
  </si>
  <si>
    <t>长度</t>
    <phoneticPr fontId="2" type="noConversion"/>
  </si>
  <si>
    <t>基层厚度</t>
    <phoneticPr fontId="2" type="noConversion"/>
  </si>
  <si>
    <t>基层最小厚度</t>
    <phoneticPr fontId="2" type="noConversion"/>
  </si>
  <si>
    <t>复层厚度</t>
    <phoneticPr fontId="2" type="noConversion"/>
  </si>
  <si>
    <t>复层最小厚度</t>
    <phoneticPr fontId="2" type="noConversion"/>
  </si>
  <si>
    <t>复合层</t>
    <phoneticPr fontId="2" type="noConversion"/>
  </si>
  <si>
    <t>否</t>
    <phoneticPr fontId="2" type="noConversion"/>
  </si>
  <si>
    <t>是</t>
    <phoneticPr fontId="2" type="noConversion"/>
  </si>
  <si>
    <t>外表面积</t>
    <phoneticPr fontId="2" type="noConversion"/>
  </si>
  <si>
    <t>内容积</t>
    <phoneticPr fontId="2" type="noConversion"/>
  </si>
  <si>
    <t>标准号</t>
    <phoneticPr fontId="2" type="noConversion"/>
  </si>
  <si>
    <t>类型1</t>
    <phoneticPr fontId="2" type="noConversion"/>
  </si>
  <si>
    <t>类型2</t>
    <phoneticPr fontId="2" type="noConversion"/>
  </si>
  <si>
    <t>密封面</t>
    <phoneticPr fontId="2" type="noConversion"/>
  </si>
  <si>
    <t>图片1名称</t>
    <phoneticPr fontId="2" type="noConversion"/>
  </si>
  <si>
    <t>外表面积</t>
    <phoneticPr fontId="2" type="noConversion"/>
  </si>
  <si>
    <t>内容积</t>
    <phoneticPr fontId="2" type="noConversion"/>
  </si>
  <si>
    <t>重量</t>
    <phoneticPr fontId="2" type="noConversion"/>
  </si>
  <si>
    <t>直径1</t>
    <phoneticPr fontId="2" type="noConversion"/>
  </si>
  <si>
    <t>直径2</t>
    <phoneticPr fontId="2" type="noConversion"/>
  </si>
  <si>
    <t>NB/T 47021-2012</t>
    <phoneticPr fontId="2" type="noConversion"/>
  </si>
  <si>
    <t>甲型平焊法兰</t>
    <phoneticPr fontId="2" type="noConversion"/>
  </si>
  <si>
    <t>法兰</t>
    <phoneticPr fontId="2" type="noConversion"/>
  </si>
  <si>
    <t>一般法兰</t>
    <phoneticPr fontId="2" type="noConversion"/>
  </si>
  <si>
    <t>平面密封</t>
    <phoneticPr fontId="2" type="noConversion"/>
  </si>
  <si>
    <t>RF</t>
    <phoneticPr fontId="2" type="noConversion"/>
  </si>
  <si>
    <t>凹面密封</t>
    <phoneticPr fontId="2" type="noConversion"/>
  </si>
  <si>
    <t>FM</t>
    <phoneticPr fontId="2" type="noConversion"/>
  </si>
  <si>
    <t>凸面密封</t>
    <phoneticPr fontId="2" type="noConversion"/>
  </si>
  <si>
    <t>M</t>
    <phoneticPr fontId="2" type="noConversion"/>
  </si>
  <si>
    <t>隼面密封</t>
    <phoneticPr fontId="2" type="noConversion"/>
  </si>
  <si>
    <t>T</t>
    <phoneticPr fontId="2" type="noConversion"/>
  </si>
  <si>
    <t>槽面密封</t>
    <phoneticPr fontId="2" type="noConversion"/>
  </si>
  <si>
    <t>G</t>
    <phoneticPr fontId="2" type="noConversion"/>
  </si>
  <si>
    <t>法兰C</t>
    <phoneticPr fontId="2" type="noConversion"/>
  </si>
  <si>
    <t>衬环法兰</t>
    <phoneticPr fontId="2" type="noConversion"/>
  </si>
  <si>
    <t>NB/T 47022-2012</t>
    <phoneticPr fontId="2" type="noConversion"/>
  </si>
  <si>
    <t>乙型平焊法兰</t>
    <phoneticPr fontId="2" type="noConversion"/>
  </si>
  <si>
    <t>NB/T 47023-2012</t>
    <phoneticPr fontId="2" type="noConversion"/>
  </si>
  <si>
    <t>长颈对焊法兰</t>
    <phoneticPr fontId="2" type="noConversion"/>
  </si>
  <si>
    <t>img1401</t>
    <phoneticPr fontId="2" type="noConversion"/>
  </si>
  <si>
    <t>img1402</t>
  </si>
  <si>
    <t>img1403</t>
  </si>
  <si>
    <t>img1404</t>
  </si>
  <si>
    <t>img1405</t>
  </si>
  <si>
    <t>img1406</t>
  </si>
  <si>
    <t>img1407</t>
  </si>
  <si>
    <t>img1408</t>
  </si>
  <si>
    <t>img1409</t>
  </si>
  <si>
    <t>img1410</t>
  </si>
  <si>
    <t>img1411</t>
  </si>
  <si>
    <t>img1412</t>
  </si>
  <si>
    <t>img1413</t>
  </si>
  <si>
    <t>img1414</t>
  </si>
  <si>
    <t>img1415</t>
  </si>
  <si>
    <t>img1416</t>
  </si>
  <si>
    <t>img1417</t>
  </si>
  <si>
    <t>img1418</t>
  </si>
  <si>
    <t>img1419</t>
  </si>
  <si>
    <t>img1420</t>
  </si>
  <si>
    <t>img1421</t>
  </si>
  <si>
    <t>img1422</t>
  </si>
  <si>
    <t>img1423</t>
  </si>
  <si>
    <t>img1424</t>
  </si>
  <si>
    <t>img1425</t>
  </si>
  <si>
    <t>img1426</t>
  </si>
  <si>
    <t>img1427</t>
  </si>
  <si>
    <t>img1428</t>
  </si>
  <si>
    <t>img1429</t>
  </si>
  <si>
    <t>img1430</t>
  </si>
  <si>
    <t>SO</t>
    <phoneticPr fontId="2" type="noConversion"/>
  </si>
  <si>
    <t>SW</t>
    <phoneticPr fontId="2" type="noConversion"/>
  </si>
  <si>
    <t>RJ</t>
    <phoneticPr fontId="2" type="noConversion"/>
  </si>
  <si>
    <t>WN</t>
    <phoneticPr fontId="2" type="noConversion"/>
  </si>
  <si>
    <t>BL</t>
    <phoneticPr fontId="2" type="noConversion"/>
  </si>
  <si>
    <t>img1202.bmp</t>
    <phoneticPr fontId="2" type="noConversion"/>
  </si>
  <si>
    <t>img1203.bmp</t>
    <phoneticPr fontId="2" type="noConversion"/>
  </si>
  <si>
    <t>img1204.bmp</t>
    <phoneticPr fontId="2" type="noConversion"/>
  </si>
  <si>
    <t>img1205.bmp</t>
    <phoneticPr fontId="2" type="noConversion"/>
  </si>
  <si>
    <t>img1206.bmp</t>
    <phoneticPr fontId="2" type="noConversion"/>
  </si>
  <si>
    <t>img1207.bmp</t>
    <phoneticPr fontId="2" type="noConversion"/>
  </si>
  <si>
    <t>img1208.bmp</t>
    <phoneticPr fontId="2" type="noConversion"/>
  </si>
  <si>
    <t>img1209.bmp</t>
    <phoneticPr fontId="2" type="noConversion"/>
  </si>
  <si>
    <t>image031.bmp</t>
    <phoneticPr fontId="2" type="noConversion"/>
  </si>
  <si>
    <t>image032.bmp</t>
    <phoneticPr fontId="2" type="noConversion"/>
  </si>
  <si>
    <t>image033.bmp</t>
    <phoneticPr fontId="2" type="noConversion"/>
  </si>
  <si>
    <t>image034.bmp</t>
    <phoneticPr fontId="2" type="noConversion"/>
  </si>
  <si>
    <t>image035.bmp</t>
    <phoneticPr fontId="2" type="noConversion"/>
  </si>
  <si>
    <t>image037.bmp</t>
    <phoneticPr fontId="2" type="noConversion"/>
  </si>
  <si>
    <t>image038.bmp</t>
    <phoneticPr fontId="2" type="noConversion"/>
  </si>
  <si>
    <t>image036.bmp</t>
    <phoneticPr fontId="2" type="noConversion"/>
  </si>
  <si>
    <t>px01</t>
    <phoneticPr fontId="2" type="noConversion"/>
  </si>
  <si>
    <t>px02</t>
  </si>
  <si>
    <t>px03</t>
  </si>
  <si>
    <t>px04</t>
  </si>
  <si>
    <t>px05</t>
  </si>
  <si>
    <t>px06</t>
  </si>
  <si>
    <t>px07</t>
  </si>
  <si>
    <t>pi*(px01+2*px03)*px07</t>
  </si>
  <si>
    <t>pi/4*px01*px01*px07</t>
  </si>
  <si>
    <t>pi*(px01+2*(px03+px05))*px07</t>
  </si>
  <si>
    <t>pi/12*px07*(px01**2+px02**2+px01*px02)</t>
    <phoneticPr fontId="2" type="noConversion"/>
  </si>
  <si>
    <t>pi*((px01-px02)**2/4+px07**2)**0.5*((px01+px02)/2+px03)</t>
    <phoneticPr fontId="2" type="noConversion"/>
  </si>
  <si>
    <t>pi*((px01-px02)**2/4+px07**2)**0.5*((px01+px02)/2+px03+px05)</t>
    <phoneticPr fontId="2" type="noConversion"/>
  </si>
  <si>
    <t>pi*px01*px03</t>
    <phoneticPr fontId="2" type="noConversion"/>
  </si>
  <si>
    <t>pi/4*px02**2*px03</t>
    <phoneticPr fontId="2" type="noConversion"/>
  </si>
  <si>
    <t>pi*(0.345*(px01+2*px03)**2+(px01+2*px03)*px07)</t>
    <phoneticPr fontId="2" type="noConversion"/>
  </si>
  <si>
    <t>pi*(px01**3/24+px01**2*px07/4)</t>
    <phoneticPr fontId="2" type="noConversion"/>
  </si>
  <si>
    <t>pi*(0.345*(px01+2*(px03+px05))**2+(px01+2*(px03+px05))*px07)</t>
    <phoneticPr fontId="2" type="noConversion"/>
  </si>
  <si>
    <t>pi*(0.345*px01**2+px01*px07)</t>
    <phoneticPr fontId="2" type="noConversion"/>
  </si>
  <si>
    <t>pi*((px01-2*px03)**3/24+(px01-2*px03)**2*px07/4)</t>
    <phoneticPr fontId="2" type="noConversion"/>
  </si>
  <si>
    <t>pi*((px01-2*(px03+px05))**3/24+(px01-2*(px03+px05))**2*px07/4)</t>
    <phoneticPr fontId="2" type="noConversion"/>
  </si>
  <si>
    <t>img1201.bmp</t>
    <phoneticPr fontId="2" type="noConversion"/>
  </si>
  <si>
    <t>self.surf</t>
    <phoneticPr fontId="2" type="noConversion"/>
  </si>
  <si>
    <t>self.vol</t>
    <phoneticPr fontId="2" type="noConversion"/>
  </si>
  <si>
    <t>名称</t>
    <phoneticPr fontId="2" type="noConversion"/>
  </si>
  <si>
    <t>筒体</t>
    <phoneticPr fontId="2" type="noConversion"/>
  </si>
  <si>
    <t>锥壳</t>
    <phoneticPr fontId="2" type="noConversion"/>
  </si>
  <si>
    <t>明细栏</t>
    <phoneticPr fontId="2" type="noConversion"/>
  </si>
  <si>
    <t>px00</t>
    <phoneticPr fontId="2" type="noConversion"/>
  </si>
  <si>
    <t>px08</t>
  </si>
  <si>
    <t>px09</t>
  </si>
  <si>
    <t>px10</t>
  </si>
  <si>
    <t>px11</t>
  </si>
  <si>
    <t>px12</t>
  </si>
  <si>
    <t>px13</t>
  </si>
  <si>
    <t>px14</t>
  </si>
  <si>
    <t>名称</t>
    <phoneticPr fontId="2" type="noConversion"/>
  </si>
  <si>
    <t>吊耳</t>
    <phoneticPr fontId="2" type="noConversion"/>
  </si>
  <si>
    <t>px00</t>
    <phoneticPr fontId="2" type="noConversion"/>
  </si>
  <si>
    <t>image039.bmp</t>
    <phoneticPr fontId="2" type="noConversion"/>
  </si>
  <si>
    <t>04顶部吊耳</t>
    <phoneticPr fontId="2" type="noConversion"/>
  </si>
  <si>
    <t>04-71186</t>
    <phoneticPr fontId="2" type="noConversion"/>
  </si>
  <si>
    <t>image040.bmp</t>
  </si>
  <si>
    <t>04-1485</t>
    <phoneticPr fontId="2" type="noConversion"/>
  </si>
  <si>
    <t>04侧壁吊耳</t>
    <phoneticPr fontId="2" type="noConversion"/>
  </si>
  <si>
    <t>所属零件类型</t>
    <phoneticPr fontId="2" type="noConversion"/>
  </si>
  <si>
    <t>Name</t>
    <phoneticPr fontId="2" type="noConversion"/>
  </si>
  <si>
    <t>No</t>
    <phoneticPr fontId="2" type="noConversion"/>
  </si>
  <si>
    <t>PartType</t>
    <phoneticPr fontId="2" type="noConversion"/>
  </si>
  <si>
    <t>DefData</t>
    <phoneticPr fontId="2" type="noConversion"/>
  </si>
  <si>
    <t>Shell</t>
  </si>
  <si>
    <t>绘图</t>
    <phoneticPr fontId="2" type="noConversion"/>
  </si>
  <si>
    <t>密封面</t>
    <phoneticPr fontId="2" type="noConversion"/>
  </si>
  <si>
    <t>图片名称</t>
    <phoneticPr fontId="2" type="noConversion"/>
  </si>
  <si>
    <t>img1003.bmp</t>
    <phoneticPr fontId="2" type="noConversion"/>
  </si>
  <si>
    <t>img1004.bmp</t>
  </si>
  <si>
    <t>img1002.bmp</t>
    <phoneticPr fontId="2" type="noConversion"/>
  </si>
  <si>
    <t>img1001.bmp</t>
    <phoneticPr fontId="2" type="noConversion"/>
  </si>
  <si>
    <t>img1101.bmp</t>
    <phoneticPr fontId="2" type="noConversion"/>
  </si>
  <si>
    <t>img1102.bmp</t>
  </si>
  <si>
    <t>img1104.bmp</t>
    <phoneticPr fontId="2" type="noConversion"/>
  </si>
  <si>
    <t>img1106.bmp</t>
    <phoneticPr fontId="2" type="noConversion"/>
  </si>
  <si>
    <t>PL</t>
    <phoneticPr fontId="2" type="noConversion"/>
  </si>
  <si>
    <t>img1005.bmp</t>
    <phoneticPr fontId="2" type="noConversion"/>
  </si>
  <si>
    <t>图片位置</t>
    <phoneticPr fontId="2" type="noConversion"/>
  </si>
  <si>
    <t>D</t>
    <phoneticPr fontId="2" type="noConversion"/>
  </si>
  <si>
    <t>K</t>
    <phoneticPr fontId="2" type="noConversion"/>
  </si>
  <si>
    <t>C</t>
    <phoneticPr fontId="2" type="noConversion"/>
  </si>
  <si>
    <t>B</t>
    <phoneticPr fontId="2" type="noConversion"/>
  </si>
  <si>
    <t>N</t>
    <phoneticPr fontId="2" type="noConversion"/>
  </si>
  <si>
    <t>H</t>
    <phoneticPr fontId="2" type="noConversion"/>
  </si>
  <si>
    <t>B2</t>
    <phoneticPr fontId="2" type="noConversion"/>
  </si>
  <si>
    <t>U</t>
    <phoneticPr fontId="2" type="noConversion"/>
  </si>
  <si>
    <t>A</t>
    <phoneticPr fontId="2" type="noConversion"/>
  </si>
  <si>
    <t>HG/T 20592-2009</t>
    <phoneticPr fontId="2" type="noConversion"/>
  </si>
  <si>
    <t>(30, 200)</t>
    <phoneticPr fontId="2" type="noConversion"/>
  </si>
  <si>
    <t>(180,20)</t>
    <phoneticPr fontId="2" type="noConversion"/>
  </si>
  <si>
    <t>d</t>
    <phoneticPr fontId="7" type="noConversion"/>
  </si>
  <si>
    <t>f2</t>
  </si>
  <si>
    <t>f3</t>
  </si>
  <si>
    <t>dmin</t>
    <phoneticPr fontId="7" type="noConversion"/>
  </si>
  <si>
    <t>P</t>
    <phoneticPr fontId="7" type="noConversion"/>
  </si>
  <si>
    <t>E</t>
    <phoneticPr fontId="7" type="noConversion"/>
  </si>
  <si>
    <t>F</t>
    <phoneticPr fontId="7" type="noConversion"/>
  </si>
  <si>
    <t>Rmax</t>
    <phoneticPr fontId="7" type="noConversion"/>
  </si>
  <si>
    <t>img1210.bmp</t>
    <phoneticPr fontId="2" type="noConversion"/>
  </si>
  <si>
    <t>板</t>
    <phoneticPr fontId="2" type="noConversion"/>
  </si>
  <si>
    <t>梯形板</t>
    <phoneticPr fontId="2" type="noConversion"/>
  </si>
  <si>
    <t>pi*px02*px05</t>
    <phoneticPr fontId="2" type="noConversion"/>
  </si>
  <si>
    <t>法兰盖</t>
    <phoneticPr fontId="2" type="noConversion"/>
  </si>
  <si>
    <t>pi/4*px06**2*px08</t>
    <phoneticPr fontId="2" type="noConversion"/>
  </si>
  <si>
    <t>法兰</t>
    <phoneticPr fontId="2" type="noConversion"/>
  </si>
  <si>
    <t>pi*px02*px05+pi/4*(px02**2-px07**2)+((px01+px07)/2*pi*(px08-px05))</t>
    <phoneticPr fontId="2" type="noConversion"/>
  </si>
  <si>
    <t>pi*px02*px05+pi/4*(px02**2-px07**2)+px07*pi*(px08-px05)</t>
  </si>
  <si>
    <t>pi*px02*px05+pi/4*(px02**2-px06**2</t>
    <phoneticPr fontId="2" type="noConversion"/>
  </si>
  <si>
    <t>pi/4*px06**2*px12</t>
    <phoneticPr fontId="2" type="noConversion"/>
  </si>
  <si>
    <t>pi/4*px06**2*px17</t>
    <phoneticPr fontId="2" type="noConversion"/>
  </si>
  <si>
    <t>pi/4*px06**2*px13</t>
    <phoneticPr fontId="2" type="noConversion"/>
  </si>
  <si>
    <t>管法兰</t>
    <phoneticPr fontId="2" type="noConversion"/>
  </si>
  <si>
    <t>NozzleFangle</t>
    <phoneticPr fontId="2" type="noConversion"/>
  </si>
  <si>
    <t>04-1484/04-70995</t>
    <phoneticPr fontId="2" type="noConversion"/>
  </si>
  <si>
    <t>颈部外径</t>
    <phoneticPr fontId="2" type="noConversion"/>
  </si>
  <si>
    <t>颈部长度</t>
    <phoneticPr fontId="2" type="noConversion"/>
  </si>
  <si>
    <t>补强管壁厚</t>
    <phoneticPr fontId="2" type="noConversion"/>
  </si>
  <si>
    <t>长度</t>
    <phoneticPr fontId="2" type="noConversion"/>
  </si>
  <si>
    <t>px06</t>
    <phoneticPr fontId="2" type="noConversion"/>
  </si>
  <si>
    <t>在明细栏中显示？</t>
    <phoneticPr fontId="2" type="noConversion"/>
  </si>
  <si>
    <t>pi*px01*px05</t>
    <phoneticPr fontId="2" type="noConversion"/>
  </si>
  <si>
    <t>pi/4*(px01-2*px02)**2*px05</t>
    <phoneticPr fontId="2" type="noConversion"/>
  </si>
  <si>
    <t>接管</t>
    <phoneticPr fontId="2" type="noConversion"/>
  </si>
  <si>
    <t>补强管</t>
    <phoneticPr fontId="2" type="noConversion"/>
  </si>
  <si>
    <t>pi*px01*px03+pi*(px01+px04-px02)*(px04-px02)+pi*(px01+2*(px04-px02))*(px05-px03-(px04-px03))</t>
    <phoneticPr fontId="2" type="noConversion"/>
  </si>
  <si>
    <t>2*pi*px01*px03+2*pi*(px01+px04-px02)*(px04-px02)+pi*(px01+2*(px04-px02))*(px05-2*px03-2*(px04-px03))</t>
    <phoneticPr fontId="2" type="noConversion"/>
  </si>
  <si>
    <t>HG/T 20553-2011</t>
    <phoneticPr fontId="2" type="noConversion"/>
  </si>
  <si>
    <t>Pipe</t>
    <phoneticPr fontId="2" type="noConversion"/>
  </si>
  <si>
    <r>
      <t>管子</t>
    </r>
    <r>
      <rPr>
        <sz val="12"/>
        <color theme="1"/>
        <rFont val="Times New Roman"/>
        <family val="1"/>
      </rPr>
      <t>&amp;</t>
    </r>
    <r>
      <rPr>
        <sz val="12"/>
        <color theme="1"/>
        <rFont val="宋体"/>
        <family val="3"/>
        <charset val="134"/>
      </rPr>
      <t>管件</t>
    </r>
    <phoneticPr fontId="2" type="noConversion"/>
  </si>
  <si>
    <t>img1501.bmp</t>
    <phoneticPr fontId="2" type="noConversion"/>
  </si>
  <si>
    <t>img1502.bmp</t>
    <phoneticPr fontId="2" type="noConversion"/>
  </si>
  <si>
    <t>img1503.bmp</t>
    <phoneticPr fontId="2" type="noConversion"/>
  </si>
  <si>
    <t>px00 φpx01×px02</t>
    <phoneticPr fontId="2" type="noConversion"/>
  </si>
  <si>
    <t>封头EHB</t>
    <phoneticPr fontId="2" type="noConversion"/>
  </si>
  <si>
    <t>封头EHA</t>
    <phoneticPr fontId="2" type="noConversion"/>
  </si>
  <si>
    <t>Ⅲ型/Ⅳ型</t>
    <phoneticPr fontId="2" type="noConversion"/>
  </si>
  <si>
    <t>Ⅰ型/Ⅱ型</t>
    <phoneticPr fontId="2" type="noConversion"/>
  </si>
  <si>
    <t>draw1201(px01,px07,px03)</t>
    <phoneticPr fontId="2" type="noConversion"/>
  </si>
  <si>
    <t>draw1202(px01,px07,px03,px05)</t>
    <phoneticPr fontId="2" type="noConversion"/>
  </si>
  <si>
    <t>draw1203(px01,px02,px07,px03)</t>
    <phoneticPr fontId="2" type="noConversion"/>
  </si>
  <si>
    <t>draw1204(px01,px02,px07,px03,px05)</t>
    <phoneticPr fontId="2" type="noConversion"/>
  </si>
  <si>
    <t>draw1206(px01,px07,px03)</t>
    <phoneticPr fontId="2" type="noConversion"/>
  </si>
  <si>
    <t>draw1207(px01,px07,px03,px05)</t>
    <phoneticPr fontId="2" type="noConversion"/>
  </si>
  <si>
    <t>draw1206(px01-2*px03,px07,px03)</t>
    <phoneticPr fontId="2" type="noConversion"/>
  </si>
  <si>
    <t>draw1207(px01-2*(px03+px05),px07,px03,px05)</t>
    <phoneticPr fontId="2" type="noConversion"/>
  </si>
  <si>
    <t>Shell</t>
    <phoneticPr fontId="2" type="noConversion"/>
  </si>
  <si>
    <t>SP3D</t>
    <phoneticPr fontId="2" type="noConversion"/>
  </si>
  <si>
    <t>Cylider,px07,px01+2*px03</t>
    <phoneticPr fontId="2" type="noConversion"/>
  </si>
  <si>
    <t>Cylider,px07,px01+2*(px03+px05)</t>
    <phoneticPr fontId="2" type="noConversion"/>
  </si>
  <si>
    <t>Cone,px07,px01+2*(px03+px05),px02+2*(px03+px05)</t>
    <phoneticPr fontId="2" type="noConversion"/>
  </si>
  <si>
    <t>Cone,px07,px01+2*px03,px02+2*px03</t>
    <phoneticPr fontId="2" type="noConversion"/>
  </si>
  <si>
    <t>Dish,px01+2*px03,px01/4+px03</t>
    <phoneticPr fontId="2" type="noConversion"/>
  </si>
  <si>
    <t>Dish,px01+2*(px03+px05),px01/4+px03+px05</t>
    <phoneticPr fontId="2" type="noConversion"/>
  </si>
  <si>
    <t>Dish,px01,px01/4</t>
    <phoneticPr fontId="2" type="noConversion"/>
  </si>
  <si>
    <t>Dish,px01,px01/4</t>
    <phoneticPr fontId="2" type="noConversion"/>
  </si>
  <si>
    <t>Cylider,px07,px01</t>
    <phoneticPr fontId="2" type="noConversion"/>
  </si>
  <si>
    <t>圆环板</t>
    <phoneticPr fontId="2" type="noConversion"/>
  </si>
  <si>
    <t>HG/T 21515-2014</t>
  </si>
  <si>
    <t>常压人孔</t>
    <phoneticPr fontId="2" type="noConversion"/>
  </si>
  <si>
    <t>HG/T 21516-2014</t>
  </si>
  <si>
    <t>HG/T 21517-2014</t>
  </si>
  <si>
    <t>HG/T 21518-2014</t>
  </si>
  <si>
    <t>HG/T 21519-2014</t>
  </si>
  <si>
    <t>HG/T 21520-2014</t>
  </si>
  <si>
    <t>HG/T 21521-2014</t>
  </si>
  <si>
    <t>HG/T 21522-2014</t>
  </si>
  <si>
    <t>HG/T 21523-2014</t>
  </si>
  <si>
    <t>HG/T 21524-2014</t>
  </si>
  <si>
    <t>HG/T 21525-2014</t>
  </si>
  <si>
    <t>HG/T 21526-2014</t>
  </si>
  <si>
    <t>HG/T 21527-2014</t>
  </si>
  <si>
    <t>HG/T 21529-2014</t>
  </si>
  <si>
    <t>HG/T 21530-2014</t>
  </si>
  <si>
    <t>HG/T 21531-2014</t>
  </si>
  <si>
    <t>HG/T 21532-2014</t>
  </si>
  <si>
    <t>HG/T 21533-2014</t>
  </si>
  <si>
    <t>HG/T 21534-2014</t>
  </si>
  <si>
    <t>HG/T 21535-2014</t>
  </si>
  <si>
    <t>常压旋柄快开人孔</t>
    <phoneticPr fontId="2" type="noConversion"/>
  </si>
  <si>
    <t>椭圆形回转盖快开人孔</t>
    <phoneticPr fontId="2" type="noConversion"/>
  </si>
  <si>
    <t>回转拱盖快开人孔</t>
    <phoneticPr fontId="2" type="noConversion"/>
  </si>
  <si>
    <t>常压手孔</t>
    <phoneticPr fontId="2" type="noConversion"/>
  </si>
  <si>
    <t>板式平焊法兰手孔</t>
    <phoneticPr fontId="2" type="noConversion"/>
  </si>
  <si>
    <t>带颈平焊法兰手孔</t>
    <phoneticPr fontId="2" type="noConversion"/>
  </si>
  <si>
    <t>带径对焊法兰手孔</t>
    <phoneticPr fontId="2" type="noConversion"/>
  </si>
  <si>
    <t>回转盖带径对焊法兰手孔</t>
    <phoneticPr fontId="2" type="noConversion"/>
  </si>
  <si>
    <t>常压快开手孔</t>
    <phoneticPr fontId="2" type="noConversion"/>
  </si>
  <si>
    <t>旋柄快开手孔</t>
    <phoneticPr fontId="2" type="noConversion"/>
  </si>
  <si>
    <t>回转盖快开手孔</t>
    <phoneticPr fontId="2" type="noConversion"/>
  </si>
  <si>
    <t>回转盖板式平焊法兰人孔</t>
  </si>
  <si>
    <t>回转盖带颈平焊法兰人孔</t>
  </si>
  <si>
    <t>回转盖带径对焊法兰人孔</t>
  </si>
  <si>
    <t>垂直吊盖板式平焊法兰人孔</t>
  </si>
  <si>
    <t>垂直吊盖带颈平焊法兰人孔</t>
  </si>
  <si>
    <t>垂直吊盖带径对焊法兰人孔</t>
  </si>
  <si>
    <t>水平吊盖板式平焊法兰人孔</t>
  </si>
  <si>
    <t>水平吊盖带颈平焊法兰人孔</t>
  </si>
  <si>
    <t>水平吊盖带径对焊法兰人孔</t>
  </si>
  <si>
    <t>HG/T 21515-2014</t>
    <phoneticPr fontId="2" type="noConversion"/>
  </si>
  <si>
    <t>常压</t>
    <phoneticPr fontId="2" type="noConversion"/>
  </si>
  <si>
    <t>Standard</t>
    <phoneticPr fontId="2" type="noConversion"/>
  </si>
  <si>
    <t>PN</t>
    <phoneticPr fontId="2" type="noConversion"/>
  </si>
  <si>
    <t>DN</t>
    <phoneticPr fontId="2" type="noConversion"/>
  </si>
  <si>
    <t>Do*T</t>
    <phoneticPr fontId="2" type="noConversion"/>
  </si>
  <si>
    <t>H1</t>
    <phoneticPr fontId="2" type="noConversion"/>
  </si>
  <si>
    <t>HG/T 21519-2014</t>
    <phoneticPr fontId="2" type="noConversion"/>
  </si>
  <si>
    <t>PN6</t>
    <phoneticPr fontId="2" type="noConversion"/>
  </si>
  <si>
    <t>HG/T 21520-2014</t>
    <phoneticPr fontId="2" type="noConversion"/>
  </si>
  <si>
    <t>MFM</t>
    <phoneticPr fontId="2" type="noConversion"/>
  </si>
  <si>
    <t>FF</t>
    <phoneticPr fontId="2" type="noConversion"/>
  </si>
  <si>
    <t>RF</t>
    <phoneticPr fontId="2" type="noConversion"/>
  </si>
  <si>
    <t>PN10</t>
    <phoneticPr fontId="2" type="noConversion"/>
  </si>
  <si>
    <t>PN16</t>
    <phoneticPr fontId="2" type="noConversion"/>
  </si>
  <si>
    <t>TG</t>
    <phoneticPr fontId="2" type="noConversion"/>
  </si>
  <si>
    <t>PN25</t>
    <phoneticPr fontId="2" type="noConversion"/>
  </si>
  <si>
    <t>PN40</t>
    <phoneticPr fontId="2" type="noConversion"/>
  </si>
  <si>
    <t>HG/T 21521-2014</t>
    <phoneticPr fontId="2" type="noConversion"/>
  </si>
  <si>
    <t>HG/T 21529-2014</t>
    <phoneticPr fontId="2" type="noConversion"/>
  </si>
  <si>
    <t>HG/T 21528-2014</t>
    <phoneticPr fontId="2" type="noConversion"/>
  </si>
  <si>
    <t>HG/T 21528-2014</t>
    <phoneticPr fontId="2" type="noConversion"/>
  </si>
  <si>
    <t>HG/T 21529-2014</t>
    <phoneticPr fontId="2" type="noConversion"/>
  </si>
  <si>
    <t>HG/T 21530-2014</t>
    <phoneticPr fontId="2" type="noConversion"/>
  </si>
  <si>
    <t>PN10</t>
    <phoneticPr fontId="2" type="noConversion"/>
  </si>
  <si>
    <t>PN16</t>
    <phoneticPr fontId="2" type="noConversion"/>
  </si>
  <si>
    <t>HG/T 21531-2014</t>
    <phoneticPr fontId="2" type="noConversion"/>
  </si>
  <si>
    <t>PN25</t>
    <phoneticPr fontId="2" type="noConversion"/>
  </si>
  <si>
    <t>PN63</t>
    <phoneticPr fontId="2" type="noConversion"/>
  </si>
  <si>
    <t>426*6</t>
    <phoneticPr fontId="2" type="noConversion"/>
  </si>
  <si>
    <t>480*6</t>
    <phoneticPr fontId="2" type="noConversion"/>
  </si>
  <si>
    <t>530*6</t>
    <phoneticPr fontId="2" type="noConversion"/>
  </si>
  <si>
    <t>630*6</t>
    <phoneticPr fontId="2" type="noConversion"/>
  </si>
  <si>
    <t>480*5</t>
    <phoneticPr fontId="2" type="noConversion"/>
  </si>
  <si>
    <t>530*5</t>
    <phoneticPr fontId="2" type="noConversion"/>
  </si>
  <si>
    <t>630*5</t>
    <phoneticPr fontId="2" type="noConversion"/>
  </si>
  <si>
    <t>480*8</t>
    <phoneticPr fontId="2" type="noConversion"/>
  </si>
  <si>
    <t>530*8</t>
    <phoneticPr fontId="2" type="noConversion"/>
  </si>
  <si>
    <t>630*8</t>
    <phoneticPr fontId="2" type="noConversion"/>
  </si>
  <si>
    <t>480*10</t>
    <phoneticPr fontId="2" type="noConversion"/>
  </si>
  <si>
    <t>530*10</t>
    <phoneticPr fontId="2" type="noConversion"/>
  </si>
  <si>
    <t>630*10</t>
    <phoneticPr fontId="2" type="noConversion"/>
  </si>
  <si>
    <t>530*12</t>
    <phoneticPr fontId="2" type="noConversion"/>
  </si>
  <si>
    <t>630*12</t>
    <phoneticPr fontId="2" type="noConversion"/>
  </si>
  <si>
    <t>480*12</t>
    <phoneticPr fontId="2" type="noConversion"/>
  </si>
  <si>
    <t>480*14</t>
    <phoneticPr fontId="2" type="noConversion"/>
  </si>
  <si>
    <t>530*14</t>
    <phoneticPr fontId="2" type="noConversion"/>
  </si>
  <si>
    <t>630*16</t>
    <phoneticPr fontId="2" type="noConversion"/>
  </si>
  <si>
    <t>159*4.5</t>
    <phoneticPr fontId="2" type="noConversion"/>
  </si>
  <si>
    <t>273*6.5</t>
    <phoneticPr fontId="2" type="noConversion"/>
  </si>
  <si>
    <t>273*8</t>
    <phoneticPr fontId="2" type="noConversion"/>
  </si>
  <si>
    <t>159*4</t>
    <phoneticPr fontId="2" type="noConversion"/>
  </si>
  <si>
    <t>273*5</t>
    <phoneticPr fontId="2" type="noConversion"/>
  </si>
  <si>
    <t>159*4.5</t>
    <phoneticPr fontId="2" type="noConversion"/>
  </si>
  <si>
    <t>273*6</t>
    <phoneticPr fontId="2" type="noConversion"/>
  </si>
  <si>
    <t>159*6</t>
    <phoneticPr fontId="2" type="noConversion"/>
  </si>
  <si>
    <t>159*7</t>
    <phoneticPr fontId="2" type="noConversion"/>
  </si>
  <si>
    <t>159*9</t>
    <phoneticPr fontId="2" type="noConversion"/>
  </si>
  <si>
    <t>RJ</t>
    <phoneticPr fontId="2" type="noConversion"/>
  </si>
  <si>
    <t>换热器</t>
    <phoneticPr fontId="2" type="noConversion"/>
  </si>
  <si>
    <t>数据表图像</t>
    <phoneticPr fontId="2" type="noConversion"/>
  </si>
  <si>
    <r>
      <rPr>
        <sz val="12"/>
        <color theme="1"/>
        <rFont val="楷体"/>
        <family val="3"/>
        <charset val="134"/>
      </rPr>
      <t>常压容器</t>
    </r>
    <phoneticPr fontId="2" type="noConversion"/>
  </si>
  <si>
    <r>
      <rPr>
        <sz val="12"/>
        <color theme="1"/>
        <rFont val="楷体"/>
        <family val="3"/>
        <charset val="134"/>
      </rPr>
      <t>塔器</t>
    </r>
    <phoneticPr fontId="2" type="noConversion"/>
  </si>
  <si>
    <r>
      <rPr>
        <sz val="12"/>
        <color theme="1"/>
        <rFont val="楷体"/>
        <family val="3"/>
        <charset val="134"/>
      </rPr>
      <t>夹套容器</t>
    </r>
    <phoneticPr fontId="2" type="noConversion"/>
  </si>
  <si>
    <r>
      <rPr>
        <sz val="12"/>
        <color theme="1"/>
        <rFont val="楷体"/>
        <family val="3"/>
        <charset val="134"/>
      </rPr>
      <t>大型储罐</t>
    </r>
    <phoneticPr fontId="2" type="noConversion"/>
  </si>
  <si>
    <t>数据表</t>
    <phoneticPr fontId="2" type="noConversion"/>
  </si>
  <si>
    <t>B-常压容器.dwg</t>
    <phoneticPr fontId="2" type="noConversion"/>
  </si>
  <si>
    <t>B-常压容器.bmp</t>
    <phoneticPr fontId="2" type="noConversion"/>
  </si>
  <si>
    <t>B-夹套&amp;盘管.dwg</t>
    <phoneticPr fontId="2" type="noConversion"/>
  </si>
  <si>
    <t>B-大型储罐.dwg</t>
    <phoneticPr fontId="2" type="noConversion"/>
  </si>
  <si>
    <t>B-疲劳容器.dwg</t>
    <phoneticPr fontId="2" type="noConversion"/>
  </si>
  <si>
    <t>B-容器.dwg</t>
    <phoneticPr fontId="2" type="noConversion"/>
  </si>
  <si>
    <t>B-容器.bmp</t>
    <phoneticPr fontId="2" type="noConversion"/>
  </si>
  <si>
    <t>B-换热器.dwg</t>
    <phoneticPr fontId="2" type="noConversion"/>
  </si>
  <si>
    <t>B-换热器.bmp</t>
    <phoneticPr fontId="2" type="noConversion"/>
  </si>
  <si>
    <t>B-塔器.dwg</t>
    <phoneticPr fontId="2" type="noConversion"/>
  </si>
  <si>
    <t>B-塔器.bmp</t>
    <phoneticPr fontId="2" type="noConversion"/>
  </si>
  <si>
    <t xml:space="preserve"> 模块代码</t>
    <phoneticPr fontId="2" type="noConversion"/>
  </si>
  <si>
    <t>英文名</t>
    <phoneticPr fontId="2" type="noConversion"/>
  </si>
  <si>
    <t>Nestle</t>
    <phoneticPr fontId="2" type="noConversion"/>
  </si>
  <si>
    <t>Equipment</t>
    <phoneticPr fontId="2" type="noConversion"/>
  </si>
  <si>
    <t>Component</t>
    <phoneticPr fontId="2" type="noConversion"/>
  </si>
  <si>
    <t>NozzleFangle</t>
    <phoneticPr fontId="2" type="noConversion"/>
  </si>
  <si>
    <t>VesselFangle</t>
    <phoneticPr fontId="2" type="noConversion"/>
  </si>
  <si>
    <t>Pipe</t>
    <phoneticPr fontId="2" type="noConversion"/>
  </si>
  <si>
    <t>Support</t>
    <phoneticPr fontId="2" type="noConversion"/>
  </si>
  <si>
    <t>ManWay</t>
    <phoneticPr fontId="2" type="noConversion"/>
  </si>
  <si>
    <t>LiftingLug</t>
    <phoneticPr fontId="2" type="noConversion"/>
  </si>
  <si>
    <t>PlatFormAll</t>
    <phoneticPr fontId="2" type="noConversion"/>
  </si>
  <si>
    <t>PlatFormHor</t>
    <phoneticPr fontId="2" type="noConversion"/>
  </si>
  <si>
    <t>TMJSYQ</t>
    <phoneticPr fontId="2" type="noConversion"/>
  </si>
  <si>
    <t>可以依附于</t>
    <phoneticPr fontId="2" type="noConversion"/>
  </si>
  <si>
    <t>11,21</t>
    <phoneticPr fontId="2" type="noConversion"/>
  </si>
  <si>
    <t>疲劳容器</t>
    <phoneticPr fontId="2" type="noConversion"/>
  </si>
  <si>
    <t>球罐</t>
    <phoneticPr fontId="2" type="noConversion"/>
  </si>
  <si>
    <t>B-球罐.dwg</t>
    <phoneticPr fontId="2" type="noConversion"/>
  </si>
  <si>
    <t>容器类别</t>
    <phoneticPr fontId="2" type="noConversion"/>
  </si>
  <si>
    <t>设计年限</t>
    <phoneticPr fontId="2" type="noConversion"/>
  </si>
  <si>
    <t>工作压力</t>
    <phoneticPr fontId="2" type="noConversion"/>
  </si>
  <si>
    <t>设计压力</t>
    <phoneticPr fontId="2" type="noConversion"/>
  </si>
  <si>
    <t>最大允许工作压力</t>
    <phoneticPr fontId="2" type="noConversion"/>
  </si>
  <si>
    <t>安全阀整定压力</t>
    <phoneticPr fontId="2" type="noConversion"/>
  </si>
  <si>
    <t>工作温度</t>
    <phoneticPr fontId="2" type="noConversion"/>
  </si>
  <si>
    <t>设计温度</t>
    <phoneticPr fontId="2" type="noConversion"/>
  </si>
  <si>
    <t>介质</t>
    <phoneticPr fontId="2" type="noConversion"/>
  </si>
  <si>
    <t>介质特性</t>
    <phoneticPr fontId="2" type="noConversion"/>
  </si>
  <si>
    <t>介质密度</t>
    <phoneticPr fontId="2" type="noConversion"/>
  </si>
  <si>
    <t>主体材料</t>
    <phoneticPr fontId="2" type="noConversion"/>
  </si>
  <si>
    <t>腐蚀余量</t>
    <phoneticPr fontId="2" type="noConversion"/>
  </si>
  <si>
    <t>接头系数</t>
    <phoneticPr fontId="2" type="noConversion"/>
  </si>
  <si>
    <t>全容积</t>
    <phoneticPr fontId="2" type="noConversion"/>
  </si>
  <si>
    <t>装量系数</t>
    <phoneticPr fontId="2" type="noConversion"/>
  </si>
  <si>
    <t>换热面积</t>
    <phoneticPr fontId="2" type="noConversion"/>
  </si>
  <si>
    <t>保温材料</t>
    <phoneticPr fontId="2" type="noConversion"/>
  </si>
  <si>
    <t>空设备质量</t>
    <phoneticPr fontId="2" type="noConversion"/>
  </si>
  <si>
    <t>设备净质量</t>
    <phoneticPr fontId="2" type="noConversion"/>
  </si>
  <si>
    <t>操作质量</t>
    <phoneticPr fontId="2" type="noConversion"/>
  </si>
  <si>
    <t>最大吊装质量</t>
    <phoneticPr fontId="2" type="noConversion"/>
  </si>
  <si>
    <t>最大质量</t>
    <phoneticPr fontId="2" type="noConversion"/>
  </si>
  <si>
    <t>塔器</t>
    <phoneticPr fontId="2" type="noConversion"/>
  </si>
  <si>
    <t>壳程</t>
    <phoneticPr fontId="2" type="noConversion"/>
  </si>
  <si>
    <t>管程</t>
    <phoneticPr fontId="2" type="noConversion"/>
  </si>
  <si>
    <t>标准1</t>
    <phoneticPr fontId="2" type="noConversion"/>
  </si>
  <si>
    <t>标准2</t>
  </si>
  <si>
    <t>标准3</t>
  </si>
  <si>
    <t>标准4</t>
  </si>
  <si>
    <t>标准5</t>
  </si>
  <si>
    <t>标准6</t>
  </si>
  <si>
    <t>标准7</t>
  </si>
  <si>
    <t>标准8</t>
  </si>
  <si>
    <t>焊接接头型式</t>
    <phoneticPr fontId="2" type="noConversion"/>
  </si>
  <si>
    <t>射线技术等级</t>
    <phoneticPr fontId="2" type="noConversion"/>
  </si>
  <si>
    <t>超声技术等级</t>
    <phoneticPr fontId="2" type="noConversion"/>
  </si>
  <si>
    <t>ABDE检测比例</t>
    <phoneticPr fontId="2" type="noConversion"/>
  </si>
  <si>
    <t>ABDE检测方法</t>
    <phoneticPr fontId="2" type="noConversion"/>
  </si>
  <si>
    <t>ABDE合格级别</t>
    <phoneticPr fontId="2" type="noConversion"/>
  </si>
  <si>
    <t>试验压力</t>
    <phoneticPr fontId="2" type="noConversion"/>
  </si>
  <si>
    <t>试验介质</t>
    <phoneticPr fontId="2" type="noConversion"/>
  </si>
  <si>
    <t>试验温度</t>
    <phoneticPr fontId="2" type="noConversion"/>
  </si>
  <si>
    <t>泄漏试验方法</t>
    <phoneticPr fontId="2" type="noConversion"/>
  </si>
  <si>
    <t>泄漏试验压力</t>
    <phoneticPr fontId="2" type="noConversion"/>
  </si>
  <si>
    <t>热处理</t>
    <phoneticPr fontId="2" type="noConversion"/>
  </si>
  <si>
    <t>管口方位</t>
    <phoneticPr fontId="2" type="noConversion"/>
  </si>
  <si>
    <t>油漆</t>
    <phoneticPr fontId="2" type="noConversion"/>
  </si>
  <si>
    <t>运输包装</t>
    <phoneticPr fontId="2" type="noConversion"/>
  </si>
  <si>
    <t>夹套等多腔容器</t>
    <phoneticPr fontId="2" type="noConversion"/>
  </si>
  <si>
    <t>容器</t>
    <phoneticPr fontId="2" type="noConversion"/>
  </si>
  <si>
    <t>夹套</t>
    <phoneticPr fontId="2" type="noConversion"/>
  </si>
  <si>
    <t>常压容器</t>
    <phoneticPr fontId="2" type="noConversion"/>
  </si>
  <si>
    <t>试验压力（卧试）</t>
    <phoneticPr fontId="2" type="noConversion"/>
  </si>
  <si>
    <t>压力容器</t>
    <phoneticPr fontId="2" type="noConversion"/>
  </si>
  <si>
    <t>换热器</t>
    <phoneticPr fontId="2" type="noConversion"/>
  </si>
  <si>
    <t>ID</t>
    <phoneticPr fontId="2" type="noConversion"/>
  </si>
  <si>
    <t>壁温</t>
    <phoneticPr fontId="2" type="noConversion"/>
  </si>
  <si>
    <t>程数</t>
    <phoneticPr fontId="2" type="noConversion"/>
  </si>
  <si>
    <t>保温厚度</t>
    <phoneticPr fontId="2" type="noConversion"/>
  </si>
  <si>
    <t>球罐</t>
    <phoneticPr fontId="2" type="noConversion"/>
  </si>
  <si>
    <t>AB筒体检测方法</t>
    <phoneticPr fontId="2" type="noConversion"/>
  </si>
  <si>
    <t>AB筒体合格级别</t>
    <phoneticPr fontId="2" type="noConversion"/>
  </si>
  <si>
    <t>AB封头检测比例</t>
    <phoneticPr fontId="2" type="noConversion"/>
  </si>
  <si>
    <t>AB封头检测方法</t>
    <phoneticPr fontId="2" type="noConversion"/>
  </si>
  <si>
    <t>AB封头合格级别</t>
    <phoneticPr fontId="2" type="noConversion"/>
  </si>
  <si>
    <t>AB筒体检测比例</t>
    <phoneticPr fontId="2" type="noConversion"/>
  </si>
  <si>
    <t>球罐DE检测比例</t>
    <phoneticPr fontId="2" type="noConversion"/>
  </si>
  <si>
    <t>球罐T检测比例</t>
    <phoneticPr fontId="2" type="noConversion"/>
  </si>
  <si>
    <t>球罐DE检测方法</t>
    <phoneticPr fontId="2" type="noConversion"/>
  </si>
  <si>
    <t>球罐DE合格级别</t>
    <phoneticPr fontId="2" type="noConversion"/>
  </si>
  <si>
    <t>球罐T检测方法</t>
    <phoneticPr fontId="2" type="noConversion"/>
  </si>
  <si>
    <t>球罐T合格级别</t>
    <phoneticPr fontId="2" type="noConversion"/>
  </si>
  <si>
    <t>大罐</t>
    <phoneticPr fontId="2" type="noConversion"/>
  </si>
  <si>
    <t>储罐型式/类别</t>
    <phoneticPr fontId="2" type="noConversion"/>
  </si>
  <si>
    <t>最高设计液位</t>
    <phoneticPr fontId="2" type="noConversion"/>
  </si>
  <si>
    <t>腐蚀余量(顶/底/壁)</t>
    <phoneticPr fontId="2" type="noConversion"/>
  </si>
  <si>
    <t>接头系数(底圈/壁板/顶板)</t>
    <phoneticPr fontId="2" type="noConversion"/>
  </si>
  <si>
    <t>公称容积</t>
    <phoneticPr fontId="2" type="noConversion"/>
  </si>
  <si>
    <t>操作容积</t>
    <phoneticPr fontId="2" type="noConversion"/>
  </si>
  <si>
    <t>盘管加热面积</t>
    <phoneticPr fontId="2" type="noConversion"/>
  </si>
  <si>
    <t>呼吸阀开启压力</t>
    <phoneticPr fontId="2" type="noConversion"/>
  </si>
  <si>
    <t>大罐试验正压</t>
    <phoneticPr fontId="2" type="noConversion"/>
  </si>
  <si>
    <t>大罐试验负压</t>
    <phoneticPr fontId="2" type="noConversion"/>
  </si>
  <si>
    <t>真空箱试验压力</t>
    <phoneticPr fontId="2" type="noConversion"/>
  </si>
  <si>
    <t>压力容器</t>
    <phoneticPr fontId="2" type="noConversion"/>
  </si>
  <si>
    <t>空着备用</t>
    <phoneticPr fontId="2" type="noConversion"/>
  </si>
  <si>
    <t>疲劳容器</t>
  </si>
  <si>
    <t>空着备用</t>
    <phoneticPr fontId="2" type="noConversion"/>
  </si>
  <si>
    <t>列号</t>
    <phoneticPr fontId="2" type="noConversion"/>
  </si>
  <si>
    <t>[1]</t>
    <phoneticPr fontId="2" type="noConversion"/>
  </si>
  <si>
    <t>[2]</t>
  </si>
  <si>
    <t>[7]</t>
    <phoneticPr fontId="2" type="noConversion"/>
  </si>
  <si>
    <t>[4,5]</t>
    <phoneticPr fontId="2" type="noConversion"/>
  </si>
  <si>
    <t>控件样式</t>
    <phoneticPr fontId="2" type="noConversion"/>
  </si>
  <si>
    <t>说明</t>
    <phoneticPr fontId="2" type="noConversion"/>
  </si>
  <si>
    <t>wx.ComboBox</t>
    <phoneticPr fontId="2" type="noConversion"/>
  </si>
  <si>
    <t>wx.TextCtrl</t>
    <phoneticPr fontId="2" type="noConversion"/>
  </si>
  <si>
    <t>wx.ComboBox只读</t>
    <phoneticPr fontId="2" type="noConversion"/>
  </si>
  <si>
    <t>wx.TextCtrl多行</t>
    <phoneticPr fontId="2" type="noConversion"/>
  </si>
  <si>
    <t>wx.TextCtrl只读</t>
    <phoneticPr fontId="2" type="noConversion"/>
  </si>
  <si>
    <t>((位置),(大小),控件样式,默认值，[默认选择列表])</t>
    <phoneticPr fontId="2" type="noConversion"/>
  </si>
  <si>
    <t>((40,88),(40,8),1,['1.0/1.0','0.9/1.0','0.85/1.0','0.85/0.85'])</t>
    <phoneticPr fontId="2" type="noConversion"/>
  </si>
  <si>
    <t>((40,104),(40,8),1,['0.90','0.85','0.80','0.70','0.60'])</t>
    <phoneticPr fontId="2" type="noConversion"/>
  </si>
  <si>
    <t>((40,112),(40,8),1,['岩棉','硅酸铝','玻璃纤维','高温玻璃纤维','聚氨酯'])</t>
    <phoneticPr fontId="2" type="noConversion"/>
  </si>
  <si>
    <t>((40,120),(40,8),1,['30','50','80','100','120'])</t>
    <phoneticPr fontId="2" type="noConversion"/>
  </si>
  <si>
    <t>((114,72),(20,8),1,['A级','AB级','B级'])</t>
    <phoneticPr fontId="2" type="noConversion"/>
  </si>
  <si>
    <t>((160,72),(20,8),1,['A级','B级','C级'])</t>
    <phoneticPr fontId="2" type="noConversion"/>
  </si>
  <si>
    <t>((114,88),(20,8),1,['10','20','50','100','100+20','100+100'])</t>
    <phoneticPr fontId="2" type="noConversion"/>
  </si>
  <si>
    <t>((134,88),(26,8),1,['RT','UT','MT','PT','RT+UT','RT+MT','UT+MT'])</t>
    <phoneticPr fontId="2" type="noConversion"/>
  </si>
  <si>
    <t>((160,88),(20,8),1,['I','II','III','I+I','II+I'])</t>
    <phoneticPr fontId="2" type="noConversion"/>
  </si>
  <si>
    <t>((114,96),(20,8),1,['10','20','50','100','100+20','100+100'])</t>
    <phoneticPr fontId="2" type="noConversion"/>
  </si>
  <si>
    <t>((134,96),(26,8),1,['RT','UT','MT','PT','RT+UT','RT+MT','UT+MT'])</t>
    <phoneticPr fontId="2" type="noConversion"/>
  </si>
  <si>
    <t>((160,96),(20,8),1,['I','II','III','I+I','II+I'])</t>
    <phoneticPr fontId="2" type="noConversion"/>
  </si>
  <si>
    <t>((114,104),(20,8),1,['10','20','50','100','100+20','100+100'])</t>
    <phoneticPr fontId="2" type="noConversion"/>
  </si>
  <si>
    <t>((134,104),(26,8),1,['RT','UT','MT','PT','RT+UT','RT+MT','UT+MT'])</t>
    <phoneticPr fontId="2" type="noConversion"/>
  </si>
  <si>
    <t>((160,104),(20,8),1,['I','II','III','I+I','II+I'])</t>
    <phoneticPr fontId="2" type="noConversion"/>
  </si>
  <si>
    <t>((160,112),(20,8),1,['水','空气'])</t>
    <phoneticPr fontId="2" type="noConversion"/>
  </si>
  <si>
    <t>((160,120),(20,8),1,['--','≥5','≥15','5~30','15~30'])</t>
    <phoneticPr fontId="2" type="noConversion"/>
  </si>
  <si>
    <t>((80,8),(100,8),1,[])</t>
    <phoneticPr fontId="2" type="noConversion"/>
  </si>
  <si>
    <t>((80,16),(100,8),1,[])</t>
    <phoneticPr fontId="2" type="noConversion"/>
  </si>
  <si>
    <t>((80,24),(100,8),1,[])</t>
    <phoneticPr fontId="2" type="noConversion"/>
  </si>
  <si>
    <t>((80,32),(100,8),1,[])</t>
    <phoneticPr fontId="2" type="noConversion"/>
  </si>
  <si>
    <t>((40,8),(40,8),1,['--','10','15','20','25'])</t>
    <phoneticPr fontId="2" type="noConversion"/>
  </si>
  <si>
    <t>((40,24),(40,8),1,['--'])</t>
    <phoneticPr fontId="2" type="noConversion"/>
  </si>
  <si>
    <t>((40,16),(40,8),1,['--'])</t>
    <phoneticPr fontId="2" type="noConversion"/>
  </si>
  <si>
    <t>((40,32),(40,8),1,['--'])</t>
    <phoneticPr fontId="2" type="noConversion"/>
  </si>
  <si>
    <t>((40,40),(40,8),1,['--'])</t>
    <phoneticPr fontId="2" type="noConversion"/>
  </si>
  <si>
    <t>((40,48),(40,8),1,['--'])</t>
    <phoneticPr fontId="2" type="noConversion"/>
  </si>
  <si>
    <t>((40,64),(40,8),1,['--'])</t>
    <phoneticPr fontId="2" type="noConversion"/>
  </si>
  <si>
    <t>((40,72),(40,8),1,['--'])</t>
    <phoneticPr fontId="2" type="noConversion"/>
  </si>
  <si>
    <t>((40,96),(40,8),1,['--'])</t>
    <phoneticPr fontId="2" type="noConversion"/>
  </si>
  <si>
    <t>((40,128),(40,8),1,['--'])</t>
    <phoneticPr fontId="2" type="noConversion"/>
  </si>
  <si>
    <t>((40,136),(40,8),1,['--'])</t>
    <phoneticPr fontId="2" type="noConversion"/>
  </si>
  <si>
    <t>((40,144),(40,8),1,['--'])</t>
    <phoneticPr fontId="2" type="noConversion"/>
  </si>
  <si>
    <t>((40,152),(40,8),1,['--'])</t>
    <phoneticPr fontId="2" type="noConversion"/>
  </si>
  <si>
    <t>((40,160),(40,8),1,['--'])</t>
    <phoneticPr fontId="2" type="noConversion"/>
  </si>
  <si>
    <t>((114,112),(20,8),1,['--'])</t>
    <phoneticPr fontId="2" type="noConversion"/>
  </si>
  <si>
    <t>((114,120),(20,8),1,['--'])</t>
    <phoneticPr fontId="2" type="noConversion"/>
  </si>
  <si>
    <t>((106,144),(74,8),1,['--','按本图','待定','HOLD','XXXX-XXXX-F-XXXX',])</t>
    <phoneticPr fontId="2" type="noConversion"/>
  </si>
  <si>
    <t>((106,152),(74,8),1,['--','XXXXX-01H1100-G-20',])</t>
    <phoneticPr fontId="2" type="noConversion"/>
  </si>
  <si>
    <t>((106,160),(74,8),1,['--','NB/T 10558-2021'])</t>
    <phoneticPr fontId="2" type="noConversion"/>
  </si>
  <si>
    <t>((88,40),(92,32),4,[''])</t>
    <phoneticPr fontId="2" type="noConversion"/>
  </si>
  <si>
    <t>((40,8),(40,8),1,['--','Ⅰ/D1','Ⅱ/D2','Ⅲ/A1','Ⅲ/A2','Ⅲ/A3','Ⅱ/A3','Ⅰ/A3','Ⅱ/A1','Ⅰ/SAD','Ⅱ/SAD','Ⅲ/SAD'])</t>
    <phoneticPr fontId="2" type="noConversion"/>
  </si>
  <si>
    <t xml:space="preserve">  </t>
    <phoneticPr fontId="2" type="noConversion"/>
  </si>
  <si>
    <t>((40,16),(40,8),1,['--','10','15','20','25'])</t>
    <phoneticPr fontId="2" type="noConversion"/>
  </si>
  <si>
    <t>((40,56),(40,8),1,['--'])</t>
    <phoneticPr fontId="2" type="noConversion"/>
  </si>
  <si>
    <t>((40,80),(40,8),1,['--','易爆','中度危害','高度危害','极度危害','易爆、中度危害','易爆、高度危害','易爆、极度危害'])</t>
    <phoneticPr fontId="2" type="noConversion"/>
  </si>
  <si>
    <t>((40,88),(40,8),1,['--'])</t>
    <phoneticPr fontId="2" type="noConversion"/>
  </si>
  <si>
    <t>((40,104),(40,8),1,['3.0','2.0','1.5','1.0'])</t>
    <phoneticPr fontId="2" type="noConversion"/>
  </si>
  <si>
    <t>((40,112),(40,8),1,['1.0/1.0','0.9/1.0','0.85/1.0','0.85/0.85'])</t>
    <phoneticPr fontId="2" type="noConversion"/>
  </si>
  <si>
    <t>((40,120),(40,8),1,['--'])</t>
    <phoneticPr fontId="2" type="noConversion"/>
  </si>
  <si>
    <t>((40,128),(40,8),1,['0.90','0.85','0.80','0.70','0.60'])</t>
    <phoneticPr fontId="2" type="noConversion"/>
  </si>
  <si>
    <t>((40,136),(40,8),1,['岩棉','硅酸铝','玻璃纤维','高温玻璃纤维','聚氨酯'])</t>
    <phoneticPr fontId="2" type="noConversion"/>
  </si>
  <si>
    <t>((40,144),(40,8),1,['30','50','80','100','120'])</t>
    <phoneticPr fontId="2" type="noConversion"/>
  </si>
  <si>
    <t>((40,168),(40,8),1,['--'])</t>
    <phoneticPr fontId="2" type="noConversion"/>
  </si>
  <si>
    <t>((40,176),(40,8),1,['--'])</t>
    <phoneticPr fontId="2" type="noConversion"/>
  </si>
  <si>
    <t>((40,184),(40,8),1,['--'])</t>
    <phoneticPr fontId="2" type="noConversion"/>
  </si>
  <si>
    <t>((80,40),(100,8),1,[])</t>
    <phoneticPr fontId="2" type="noConversion"/>
  </si>
  <si>
    <t>((114,88),(20,8),1,['A级','AB级','B级'])</t>
    <phoneticPr fontId="2" type="noConversion"/>
  </si>
  <si>
    <t>((160,88),(20,8),1,['A级','B级','C级'])</t>
    <phoneticPr fontId="2" type="noConversion"/>
  </si>
  <si>
    <t>((114,112),(20,8),1,['10','20','50','100','100+20','100+100'])</t>
    <phoneticPr fontId="2" type="noConversion"/>
  </si>
  <si>
    <t>((134,112),(26,8),1,['RT','UT','MT','PT','RT+UT','RT+MT','UT+MT'])</t>
    <phoneticPr fontId="2" type="noConversion"/>
  </si>
  <si>
    <t>((160,112),(20,8),1,['I','II','III','I+I','II+I'])</t>
    <phoneticPr fontId="2" type="noConversion"/>
  </si>
  <si>
    <t>((134,120),(26,8),1,['RT','UT','MT','PT','RT+UT','RT+MT','UT+MT'])</t>
    <phoneticPr fontId="2" type="noConversion"/>
  </si>
  <si>
    <t>((160,120),(20,8),1,['I','II','III','I+I','II+I'])</t>
    <phoneticPr fontId="2" type="noConversion"/>
  </si>
  <si>
    <t>((114,128),(20,8),1,['--'])</t>
    <phoneticPr fontId="2" type="noConversion"/>
  </si>
  <si>
    <t>((114,136),(20,8),1,['--'])</t>
    <phoneticPr fontId="2" type="noConversion"/>
  </si>
  <si>
    <t>((160,128),(20,8),1,['水','空气'])</t>
    <phoneticPr fontId="2" type="noConversion"/>
  </si>
  <si>
    <t>((160,136),(20,8),1,['--','≥5','≥15','5~30','15~30'])</t>
    <phoneticPr fontId="2" type="noConversion"/>
  </si>
  <si>
    <t>((114,152),(66,8),1,['--'])</t>
    <phoneticPr fontId="2" type="noConversion"/>
  </si>
  <si>
    <t>((106,160),(74,8),1,['--','焊后整体消除应力热处理','管箱消除应力热处理','HOLD','待定',])</t>
    <phoneticPr fontId="2" type="noConversion"/>
  </si>
  <si>
    <t>((106,168),(74,8),1,['--','按本图','待定','HOLD','XXXX-XXXX-F-XXXX',])</t>
    <phoneticPr fontId="2" type="noConversion"/>
  </si>
  <si>
    <t>((106,176),(74,8),1,['--','XXXXX-01H1100-G-20',])</t>
    <phoneticPr fontId="2" type="noConversion"/>
  </si>
  <si>
    <t>((106,184),(74,8),1,['--','NB/T 10558-2021'])</t>
    <phoneticPr fontId="2" type="noConversion"/>
  </si>
  <si>
    <t>((114,120),(20,8),1,['10','20','50','100','100+20','100+100'])</t>
    <phoneticPr fontId="2" type="noConversion"/>
  </si>
  <si>
    <t>((88,48),(92,40),4,[''])</t>
    <phoneticPr fontId="2" type="noConversion"/>
  </si>
  <si>
    <t>((40,8),(80,8),1,['--','Ⅰ/D1','Ⅱ/D2','Ⅲ/A1','Ⅲ/A2','Ⅲ/A3','Ⅱ/A3','Ⅰ/A3','Ⅱ/A1','Ⅰ/SAD','Ⅱ/SAD','Ⅲ/SAD'])</t>
    <phoneticPr fontId="2" type="noConversion"/>
  </si>
  <si>
    <t>((40,16),(80,8),1,['--','10','15','20','25'])</t>
    <phoneticPr fontId="2" type="noConversion"/>
  </si>
  <si>
    <t>((40,72),(40,8),1,['--'])</t>
    <phoneticPr fontId="2" type="noConversion"/>
  </si>
  <si>
    <t>((40,80),(40,8),1,['--'])</t>
    <phoneticPr fontId="2" type="noConversion"/>
  </si>
  <si>
    <t>((80,32),(40,8),1,['--'])</t>
    <phoneticPr fontId="2" type="noConversion"/>
  </si>
  <si>
    <t>((80,40),(40,8),1,['--'])</t>
    <phoneticPr fontId="2" type="noConversion"/>
  </si>
  <si>
    <t>((80,48),(40,8),1,['--'])</t>
    <phoneticPr fontId="2" type="noConversion"/>
  </si>
  <si>
    <t>((80,56),(40,8),1,['--'])</t>
    <phoneticPr fontId="2" type="noConversion"/>
  </si>
  <si>
    <t>((80,64),(40,8),1,['--'])</t>
    <phoneticPr fontId="2" type="noConversion"/>
  </si>
  <si>
    <t>((80,72),(40,8),1,['--'])</t>
    <phoneticPr fontId="2" type="noConversion"/>
  </si>
  <si>
    <t>((80,80),(40,8),1,['--'])</t>
    <phoneticPr fontId="2" type="noConversion"/>
  </si>
  <si>
    <t>((40,88),(40,8),1,['--'])</t>
    <phoneticPr fontId="2" type="noConversion"/>
  </si>
  <si>
    <t>((40,96),(40,8),1,['--','易爆','中度危害','高度危害','极度危害','易爆、中度危害','易爆、高度危害','易爆、极度危害'])</t>
    <phoneticPr fontId="2" type="noConversion"/>
  </si>
  <si>
    <t>((40,104),(40,8),1,['--'])</t>
    <phoneticPr fontId="2" type="noConversion"/>
  </si>
  <si>
    <t>((80,88),(40,8),1,['--'])</t>
    <phoneticPr fontId="2" type="noConversion"/>
  </si>
  <si>
    <t>((80,96),(40,8),1,['--','易爆','中度危害','高度危害','极度危害','易爆、中度危害','易爆、高度危害','易爆、极度危害'])</t>
    <phoneticPr fontId="2" type="noConversion"/>
  </si>
  <si>
    <t>((80,104),(40,8),1,['--'])</t>
    <phoneticPr fontId="2" type="noConversion"/>
  </si>
  <si>
    <t>((40,112),(40,8),1,['--'])</t>
    <phoneticPr fontId="2" type="noConversion"/>
  </si>
  <si>
    <t>((40,120),(40,8),1,['3.0','2.0','1.5','1.0'])</t>
    <phoneticPr fontId="2" type="noConversion"/>
  </si>
  <si>
    <t>((40,128),(40,8),1,['1.0/1.0','0.9/1.0','0.85/1.0','0.85/0.85'])</t>
    <phoneticPr fontId="2" type="noConversion"/>
  </si>
  <si>
    <t>((80,112),(40,8),1,['--'])</t>
    <phoneticPr fontId="2" type="noConversion"/>
  </si>
  <si>
    <t>((80,120),(40,8),1,['3.0','2.0','1.5','1.0'])</t>
    <phoneticPr fontId="2" type="noConversion"/>
  </si>
  <si>
    <t>((80,128),(40,8),1,['1.0/1.0','0.9/1.0','0.85/1.0','0.85/0.85'])</t>
    <phoneticPr fontId="2" type="noConversion"/>
  </si>
  <si>
    <t>((40,136),(40,8),1,['1','2','4'])</t>
    <phoneticPr fontId="2" type="noConversion"/>
  </si>
  <si>
    <t>((40,168),(80,8),1,['--'])</t>
    <phoneticPr fontId="2" type="noConversion"/>
  </si>
  <si>
    <t>((40,152),(40,8),1,['岩棉','硅酸铝','玻璃纤维','高温玻璃纤维','聚氨酯'])</t>
    <phoneticPr fontId="2" type="noConversion"/>
  </si>
  <si>
    <t>((40,160),(40,8),1,['30','50','80','100','120'])</t>
    <phoneticPr fontId="2" type="noConversion"/>
  </si>
  <si>
    <t>((80,152),(40,8),1,['岩棉','硅酸铝','玻璃纤维','高温玻璃纤维','聚氨酯'])</t>
    <phoneticPr fontId="2" type="noConversion"/>
  </si>
  <si>
    <t>((80,160),(40,8),1,['30','50','80','100','120'])</t>
    <phoneticPr fontId="2" type="noConversion"/>
  </si>
  <si>
    <t>((40,192),(40,8),1,['--'])</t>
    <phoneticPr fontId="2" type="noConversion"/>
  </si>
  <si>
    <t>((80,48),(100,8),1,[])</t>
    <phoneticPr fontId="2" type="noConversion"/>
  </si>
  <si>
    <t>((114,120),(20,8),1,['10','20','50','100','100+20','100+100'])</t>
    <phoneticPr fontId="2" type="noConversion"/>
  </si>
  <si>
    <t>((134,120),(26,8),1,['RT','UT','MT','PT','RT+UT','RT+MT','UT+MT'])</t>
    <phoneticPr fontId="2" type="noConversion"/>
  </si>
  <si>
    <t>((160,120),(20,8),1,['I','II','III','I+I','II+I'])</t>
    <phoneticPr fontId="2" type="noConversion"/>
  </si>
  <si>
    <t>((114,128),(20,8),1,['10','20','50','100','100+20','100+100'])</t>
    <phoneticPr fontId="2" type="noConversion"/>
  </si>
  <si>
    <t>((134,128),(26,8),1,['RT','UT','MT','PT','RT+UT','RT+MT','UT+MT'])</t>
    <phoneticPr fontId="2" type="noConversion"/>
  </si>
  <si>
    <t>((160,128),(20,8),1,['I','II','III','I+I','II+I'])</t>
    <phoneticPr fontId="2" type="noConversion"/>
  </si>
  <si>
    <t>((154,160),(33,8),1,['--'])</t>
    <phoneticPr fontId="2" type="noConversion"/>
  </si>
  <si>
    <t>((154,168),(33,8),1,['水','空气'])</t>
    <phoneticPr fontId="2" type="noConversion"/>
  </si>
  <si>
    <t>((154,176),(33,8),1,['--','≥5','≥15','5~30','15~30'])</t>
    <phoneticPr fontId="2" type="noConversion"/>
  </si>
  <si>
    <t>((154,192),(33,8),1,['--'])</t>
    <phoneticPr fontId="2" type="noConversion"/>
  </si>
  <si>
    <t>((187,160),(33,8),1,['--'])</t>
    <phoneticPr fontId="2" type="noConversion"/>
  </si>
  <si>
    <t>((187,168),(33,8),1,['水','空气'])</t>
    <phoneticPr fontId="2" type="noConversion"/>
  </si>
  <si>
    <t>((187,176),(33,8),1,['--','≥5','≥15','5~30','15~30'])</t>
    <phoneticPr fontId="2" type="noConversion"/>
  </si>
  <si>
    <t>((187,192),(33,8),1,['--'])</t>
    <phoneticPr fontId="2" type="noConversion"/>
  </si>
  <si>
    <t>((40,128),(40,8),1,['规整填料','散堆填料','筛板','泡罩','浮阀'])</t>
    <phoneticPr fontId="2" type="noConversion"/>
  </si>
  <si>
    <t>((40,136),(40,8),1,['3000','6000','9000','12000'])</t>
    <phoneticPr fontId="2" type="noConversion"/>
  </si>
  <si>
    <t>((40,144),(40,8),1,['岩棉','硅酸铝','玻璃纤维','高温玻璃纤维','聚氨酯'])</t>
    <phoneticPr fontId="2" type="noConversion"/>
  </si>
  <si>
    <t>((40,152),(40,8),1,['30','50','80','100','120'])</t>
    <phoneticPr fontId="2" type="noConversion"/>
  </si>
  <si>
    <t>((40,160),(40,8),1,['--'])</t>
    <phoneticPr fontId="2" type="noConversion"/>
  </si>
  <si>
    <t>((40,168),(40,8),1,['--'])</t>
    <phoneticPr fontId="2" type="noConversion"/>
  </si>
  <si>
    <t>((40,176),(40,8),1,['--'])</t>
    <phoneticPr fontId="2" type="noConversion"/>
  </si>
  <si>
    <t>((40,184),(40,8),1,['--'])</t>
    <phoneticPr fontId="2" type="noConversion"/>
  </si>
  <si>
    <t>塔器接头型式栏已向上扩展一行</t>
    <phoneticPr fontId="2" type="noConversion"/>
  </si>
  <si>
    <t>((88,56),(92,40),4,[''])</t>
    <phoneticPr fontId="2" type="noConversion"/>
  </si>
  <si>
    <t>((114,96),(20,8),1,['A级','AB级','B级'])</t>
    <phoneticPr fontId="2" type="noConversion"/>
  </si>
  <si>
    <t>((160,96),(20,8),1,['A级','B级','C级'])</t>
    <phoneticPr fontId="2" type="noConversion"/>
  </si>
  <si>
    <t>((114,112),(20,8),1,['10','20','50','100','100+20','100+100'])</t>
    <phoneticPr fontId="2" type="noConversion"/>
  </si>
  <si>
    <t>((134,112),(26,8),1,['RT','UT','MT','PT','RT+UT','RT+MT','UT+MT'])</t>
    <phoneticPr fontId="2" type="noConversion"/>
  </si>
  <si>
    <t>((160,112),(20,8),1,['I','II','III','I+I','II+I'])</t>
    <phoneticPr fontId="2" type="noConversion"/>
  </si>
  <si>
    <t>((114,136),(20,8),1,['--'])</t>
    <phoneticPr fontId="2" type="noConversion"/>
  </si>
  <si>
    <t>((114,144),(20,8),1,['--'])</t>
    <phoneticPr fontId="2" type="noConversion"/>
  </si>
  <si>
    <t>((160,136),(20,8),1,['水','空气'])</t>
    <phoneticPr fontId="2" type="noConversion"/>
  </si>
  <si>
    <t>((160,144),(20,8),1,['--','≥5','≥15','5~30','15~30'])</t>
    <phoneticPr fontId="2" type="noConversion"/>
  </si>
  <si>
    <t>((114,160),(66,8),1,['--'])</t>
    <phoneticPr fontId="2" type="noConversion"/>
  </si>
  <si>
    <t>((106,168),(74,8),1,['--','焊后整体消除应力热处理','管箱消除应力热处理','HOLD','待定',])</t>
    <phoneticPr fontId="2" type="noConversion"/>
  </si>
  <si>
    <t>((106,176),(74,8),1,['--','按本图','待定','HOLD','XXXX-XXXX-F-XXXX',])</t>
    <phoneticPr fontId="2" type="noConversion"/>
  </si>
  <si>
    <t>((106,184),(74,8),1,['--','XXXXX-01H1100-G-20',])</t>
    <phoneticPr fontId="2" type="noConversion"/>
  </si>
  <si>
    <t>((106,192),(74,8),1,['--','NB/T 10558-2021'])</t>
    <phoneticPr fontId="2" type="noConversion"/>
  </si>
  <si>
    <t>((120,8),(100,8),1,[])</t>
    <phoneticPr fontId="2" type="noConversion"/>
  </si>
  <si>
    <t>((120,16),(100,8),1,[])</t>
    <phoneticPr fontId="2" type="noConversion"/>
  </si>
  <si>
    <t>((120,24),(100,8),1,[])</t>
    <phoneticPr fontId="2" type="noConversion"/>
  </si>
  <si>
    <t>((120,32),(100,8),1,[])</t>
    <phoneticPr fontId="2" type="noConversion"/>
  </si>
  <si>
    <t>((120,40),(100,8),1,[])</t>
    <phoneticPr fontId="2" type="noConversion"/>
  </si>
  <si>
    <t>((120,48),(100,8),1,[])</t>
    <phoneticPr fontId="2" type="noConversion"/>
  </si>
  <si>
    <t>((128,56),(92,32),4,[''])</t>
    <phoneticPr fontId="2" type="noConversion"/>
  </si>
  <si>
    <t>((154,88),(20,8),1,['A级','AB级','B级'])</t>
    <phoneticPr fontId="2" type="noConversion"/>
  </si>
  <si>
    <t>((200,88),(20,8),1,['A级','B级','C级'])</t>
    <phoneticPr fontId="2" type="noConversion"/>
  </si>
  <si>
    <t>((154,104),(20,8),1,['10','20','50','100','100+20','100+100'])</t>
    <phoneticPr fontId="2" type="noConversion"/>
  </si>
  <si>
    <t>((174,104),(26,8),1,['RT','UT','MT','PT','RT+UT','RT+MT','UT+MT'])</t>
    <phoneticPr fontId="2" type="noConversion"/>
  </si>
  <si>
    <t>((200,104),(20,8),1,['I','II','III','I+I','II+I'])</t>
    <phoneticPr fontId="2" type="noConversion"/>
  </si>
  <si>
    <t>((154,120),(20,8),1,['10','20','50','100','100+20','100+100'])</t>
    <phoneticPr fontId="2" type="noConversion"/>
  </si>
  <si>
    <t>((174,120),(26,8),1,['RT','UT','MT','PT','RT+UT','RT+MT','UT+MT'])</t>
    <phoneticPr fontId="2" type="noConversion"/>
  </si>
  <si>
    <t>((200,120),(20,8),1,['I','II','III','I+I','II+I'])</t>
    <phoneticPr fontId="2" type="noConversion"/>
  </si>
  <si>
    <t>((154,112),(20,8),1,['10','20','50','100','100+20','100+100'])</t>
    <phoneticPr fontId="2" type="noConversion"/>
  </si>
  <si>
    <t>((174,112),(26,8),1,['RT','UT','MT','PT','RT+UT','RT+MT','UT+MT'])</t>
    <phoneticPr fontId="2" type="noConversion"/>
  </si>
  <si>
    <t>((200,112),(20,8),1,['I','II','III','I+I','II+I'])</t>
    <phoneticPr fontId="2" type="noConversion"/>
  </si>
  <si>
    <t>((154,136),(20,8),1,['10','20','50','100','100+20','100+100'])</t>
    <phoneticPr fontId="2" type="noConversion"/>
  </si>
  <si>
    <t>((174,136),(26,8),1,['RT','UT','MT','PT','RT+UT','RT+MT','UT+MT'])</t>
    <phoneticPr fontId="2" type="noConversion"/>
  </si>
  <si>
    <t>((200,136),(20,8),1,['I','II','III','I+I','II+I'])</t>
    <phoneticPr fontId="2" type="noConversion"/>
  </si>
  <si>
    <t>((154,128),(20,8),1,['10','20','50','100','100+20','100+100'])</t>
    <phoneticPr fontId="2" type="noConversion"/>
  </si>
  <si>
    <t>((174,128),(26,8),1,['RT','UT','MT','PT','RT+UT','RT+MT','UT+MT'])</t>
    <phoneticPr fontId="2" type="noConversion"/>
  </si>
  <si>
    <t>((200,128),(20,8),1,['I','II','III','I+I','II+I'])</t>
    <phoneticPr fontId="2" type="noConversion"/>
  </si>
  <si>
    <t>((154,144),(20,8),1,['10','20','50','100','100+20','100+100'])</t>
    <phoneticPr fontId="2" type="noConversion"/>
  </si>
  <si>
    <t>((174,144),(26,8),1,['RT','UT','MT','PT','RT+UT','RT+MT','UT+MT'])</t>
    <phoneticPr fontId="2" type="noConversion"/>
  </si>
  <si>
    <t>((200,144),(20,8),1,['I','II','III','I+I','II+I'])</t>
    <phoneticPr fontId="2" type="noConversion"/>
  </si>
  <si>
    <t>((146,200),(74,8),1,['--','焊后整体消除应力热处理','管箱消除应力热处理','HOLD','待定',])</t>
    <phoneticPr fontId="2" type="noConversion"/>
  </si>
  <si>
    <t>((40,192),(80,8),1,['--'])</t>
    <phoneticPr fontId="2" type="noConversion"/>
  </si>
  <si>
    <t>((40,200),(80,8),1,['--'])</t>
    <phoneticPr fontId="2" type="noConversion"/>
  </si>
  <si>
    <t>((40,208),(80,8),1,['--'])</t>
    <phoneticPr fontId="2" type="noConversion"/>
  </si>
  <si>
    <t>((40,216),(80,8),1,['--'])</t>
    <phoneticPr fontId="2" type="noConversion"/>
  </si>
  <si>
    <t>((40,224),(80,8),1,['--'])</t>
    <phoneticPr fontId="2" type="noConversion"/>
  </si>
  <si>
    <t>((40,144),(40,8),1,['--'])</t>
    <phoneticPr fontId="2" type="noConversion"/>
  </si>
  <si>
    <t>((80,136),(40,8),1,['1','2','3','4','6','8'])</t>
    <phoneticPr fontId="2" type="noConversion"/>
  </si>
  <si>
    <t>((146,208),(74,8),1,['--','按本图','待定','HOLD','XXXX-XXXX-F-XXXX',])</t>
    <phoneticPr fontId="2" type="noConversion"/>
  </si>
  <si>
    <t>((80,144),(40,8),1,['--'])</t>
    <phoneticPr fontId="2" type="noConversion"/>
  </si>
  <si>
    <t>Equipment</t>
    <phoneticPr fontId="2" type="noConversion"/>
  </si>
  <si>
    <t>[['Shell',3,'壳体','壳体--&gt;参数设置'], [True, False, '120', True, False, '2.5', True, True, '1.18', True, True, '4.86'], [True, False, True, True, '板材', 'GB 713-2014', 'Q345R', 7.85, True, False, False, False, '', '', 7.93], ['无', '筒体'], ['', '筒体 DN1000 t=16 H=1500', '1', 'Q345R', '601.3', '601.3', ''], ['img1201.bmp', '4.86', '1.18', '601.3', '0.0', '1000', '0', '16', '0', '0', '0', '1500'],[]]</t>
    <phoneticPr fontId="2" type="noConversion"/>
  </si>
  <si>
    <t>[['Shell',3,'壳体','壳体--&gt;参数设置'], [True, False, '120', True, False, '2.5', True, True, '1.26', True, True, '5.22'], [True, False, True, True, '板材', 'GB 713-2014', 'Q345R', 7.85, True, True, True, False, '不锈钢复合', 'S30408', 7.93], ['无', '筒体(带复合层)'], ['', '筒体 DN1000 t=3+16 H=1600', '1', 'S30408+Q345R', '765.1', '765.1', ''], ['img1202.bmp', '5.22', '1.26', '645.2', '119.9', '1000', '0', '16', '0', '3', '0', '1600'],[]]</t>
    <phoneticPr fontId="2" type="noConversion"/>
  </si>
  <si>
    <t>[['Shell',3,'壳体','壳体--&gt;参数设置'], [True, False, '120', True, False, '2.5', True, True, '0.57', True, True, '2.61'], [True, False, True, True, '板材', 'GB 713-2014', 'Q345R', 7.85, True, False, False, False, '', '', 7.93], ['无', '锥壳'], ['', '锥壳 t=16', '1', 'Q345R', '327.3', '327.3', ''], ['img1203.bmp', '2.61', '0.57', '327.3', '0.0', '1000', '800', '16', '0', '0', '0', '900'],[]]</t>
    <phoneticPr fontId="2" type="noConversion"/>
  </si>
  <si>
    <t>[['Shell',3,'壳体','壳体--&gt;参数设置'], [True, False, '120', True, False, '2.5', True, True, '0.57', True, True, '2.61'], [True, False, True, True, '板材', 'GB 713-2014', 'Q345R', 7.85, True, True, True, False, '不锈钢复合', 'S30408', 7.93], ['无', '锥壳(带复合层)'], ['', '锥壳 t=3+16', '1', 'S30408+Q345R', '388.2', '388.2', ''], ['img1204.bmp', '2.61', '0.57', '327.3', '60.9', '1000', '800', '16', '0', '3', '0', '900'],[]]</t>
    <phoneticPr fontId="2" type="noConversion"/>
  </si>
  <si>
    <t>[['Shell',3,'壳体','壳体--&gt;参数设置'], [True, False, '120', True, False, '2.5', True, True, '0.01', True, True, '0.05'], [True, False, True, True, '板材', 'GB 713-2014', 'Q345R', 7.85, True, False, False, False, '', '', 7.93], ['无', '板'], ['', '板 t=16', '1', 'Q345R', '18.7', '18.7', ''], ['img1210.bmp', '0.05', '0.01', '18.7', '0.0', '1000', '900', '16', '0', '0', '0', '800'],[]]</t>
    <phoneticPr fontId="2" type="noConversion"/>
  </si>
  <si>
    <t>[['Shell',3,'壳体','壳体--&gt;参数设置'], [True, False, '120', True, False, '2.5', True, True, '0.15', True, True, '1.24'], [True, False, True, True, '板材', 'GB 713-2014', 'Q345R', 7.85, True, False, False, False, '', '', 7.93], ['GB/T 25198-2010', '椭圆封头 EHA'], ['GB/T 25198-2010', '椭圆封头EHA DN1000×16(14.1)', '1', 'Q345R', '150.5', '150.5', ''], ['img1206.bmp', '1.24', '0.15', '150.5', '0.0', '1000', '0', '16', '14.1', '0', '0', '25'],[]]</t>
    <phoneticPr fontId="2" type="noConversion"/>
  </si>
  <si>
    <t>[['Shell',3,'壳体','壳体--&gt;参数设置'], [True, False, '120', True, False, '2.5', True, True, '0.15', True, True, '1.25'], [True, False, True, True,  '板材', 'GB 713-2014', 'Q345R', 7.85, True, True, True, False, '不锈钢复合', 'S30408', 7.93], ['GB/T 25198-2010', '椭圆封头 EHA(带复合层)'], ['GB/T 25198-2010', '椭圆封头EHA DN1000×[3(2.6)+16(14.1)]', '1', 'S30408+Q345R', '180.1', '180.1', ''], ['img1207.bmp', '1.25', '0.15', '152.3', '27.8', '1000', '0', '16', '14.1', '3', '2.6', '25'],[]]</t>
    <phoneticPr fontId="2" type="noConversion"/>
  </si>
  <si>
    <t>[['Shell',3,'壳体','壳体--&gt;参数设置'], [True, False, '120', True, False, '2.5', True, True, '0.14', True, True, '1.16'], [True, False, True, True,  '板材', 'GB 713-2014', 'Q345R', 7.85, True, False, False, False, '', '', 7.93], ['GB/T 25198-2010', '椭圆封头 EHB'], ['GB/T 25198-2010', '椭圆封头EHB DN1000×10(8.8)', '1', 'Q345R', '89.5', '89.5', ''], ['img1208.bmp', '1.16', '0.14', '89.5', '0.0', '1000', '0', '10', '8.8', '0', '0', '25'],[]]</t>
    <phoneticPr fontId="2" type="noConversion"/>
  </si>
  <si>
    <t>[['Shell',3,'壳体','壳体--&gt;参数设置'], [True, False, '120', True, False, '2.5', True, True, '0.14', True, True, '1.16'], [True, False, True, True, '板材', 'GB 713-2014', 'Q345R', 7.85, True, True, True, False, '不锈钢复合', 'S30408', 7.93], ['GB/T 25198-2010', '椭圆封头 EHB(带复合层)'], ['GB/T 25198-2010', '椭圆封头EHB DN1000×[3(2.6)+10(8.8)]', '1', 'S30408+Q345R', '115.9', '115.9', ''], ['img1209.bmp', '1.16', '0.14', '89.5', '26.4', '1000', '0', '10', '8.8', '3', '2.6', '25'],[]]</t>
    <phoneticPr fontId="2" type="noConversion"/>
  </si>
  <si>
    <t>[['LiftingLug',9,'吊耳','吊耳--&gt;参数设置'], [ False, False, '0',  False, False, '0',  False, False, '0.00',  False, False, '0.00'], [True, False, True, False, '板材', 'GB 713-2014', 'Q345R', 7.85, True, False, False, False, '', '', 7.93], ['HG/T 21574-2018', '顶部板式吊耳', 'TPB-4   10t', '10'], ['HG/T 21574-2018', '吊耳 TPB-4-10', '1', 'Q345R', '17.6', '17.6', ''], ['image031.bmp', '0.00', '0.00', '11.3', '6.3', '32', '100', '140', '105', '400', '200', '0', '0', '0', '0', '0', '0', '0', '0'],[]]</t>
    <phoneticPr fontId="2" type="noConversion"/>
  </si>
  <si>
    <t>[['LiftingLug',9,'吊耳','吊耳--&gt;参数设置'], [True, True, '0', True, True, '0', True, True, '0.00', True, True, '0.00'], [True, False, True, False, '板材', 'GB 713-2014', 'Q345R', 7.85, True, False, False, False, '', '', 7.93], ['04-71186', '04顶部吊耳', '吊耳 20   2t', ''], ['04-71186', ' 吊耳 20', '1', 'Q345R', '0.5', '0.5', ''], ['image039.bmp', '0.00', '0.00', '0.5', '0.0', '16', '40', '40', '30', '120', '0', '0', '0', '0', '0', '0', '0', '0', '0'],[]]</t>
    <phoneticPr fontId="2" type="noConversion"/>
  </si>
  <si>
    <t>[['NozzleFangle',4,'管法兰','管法兰--&gt;参数设置'], [True, True, '0', True, True, '0', True, False, '0.00', True, False, '0.00'], [True, False, True, False, '锻件', 'NB/T 47008-2017', '16Mn', 7.85, True, False, False, False, '', '', 7.8], ['HG/T 20615-2009', 'WN', '', 'PN50  CL300', 'RF', '100  4"', 'Ia系列  Sch.80', '114.3', '8.8'], ['HG/T 20615-2009', '法兰 WN100-PN50 RF  Sch.80', '1', '16Mn', '14.7', '14.7', ''], ['img1002.bmp', '0.08', '0.00', '14.7', '0.0', ['114.3', '255', '200', '8-φ22配M20', '30.2', '96.7', '146', '84', '0', '0'], ['157.2', '2', '0', '0', '0', '0', '0', '0']], []]</t>
    <phoneticPr fontId="2" type="noConversion"/>
  </si>
  <si>
    <t>((40,176),(80,8),1,['%%c14X1.6 L=1000','%%c14X2.0  L=2000','%%c19X2.0  L=3000','%%c19X2.5  L=4000',   '%%c25X2.0 L=5000','%%c25X2.5 L=6000','%%c32X2.0 L=7000','%%c32X2.5 L=8000','%%c38X2.0 L=9000','%%c38X2.5 L=9800'])</t>
    <phoneticPr fontId="2" type="noConversion"/>
  </si>
  <si>
    <t>[['Shell',3,'壳体','壳体--&gt;参数设置'], [True, False, '120', True, False, '2.5', True, True, '0.01', True, True, '0.05'], [True, False, True, True, '板材', 'GB 713-2014', 'Q345R', 7.85, True, False, False, False, '', '', 7.93], ['无', '圆环板'], ['', '圆环板 t=16', '1', 'Q345R', '18.7', '18.7', ''], ['img1205.bmp', '0.05', '0.01', '18.7', '0.0', '1000', '900', '16', '0', '0', '0', '0'],[]]</t>
    <phoneticPr fontId="2" type="noConversion"/>
  </si>
  <si>
    <t>[['Pipe',6,'管子&amp;管件','管子&amp;管件--&gt;参数设置'], [True, True, '120', True, True, '2.5', True, False, '0.00', True, False, '0.00'], [True, False, True, False, '锻件', 'NB/T 47008-2017', '16Mn', 7.85, True, False, False, False, '', '', 7.8], ['04-1484', 'Ⅰ型', '', 'Ia系列  100  4"', 'Sch.80'], ['04-1484', 't20补强管 DN100Ⅰ Sch.80 L=150', '1', '16Mn', '6.4', '6.4', ''], ['img1502.bmp', '0.07', '0.00', '7.7', '0.0', '114.3', '8.8', '20', '20', '150', True], []]</t>
    <phoneticPr fontId="2" type="noConversion"/>
  </si>
  <si>
    <t>设备 换热器</t>
    <phoneticPr fontId="2" type="noConversion"/>
  </si>
  <si>
    <t>我的项目</t>
  </si>
  <si>
    <t>Nestle</t>
  </si>
  <si>
    <t>((40,184),(80,8),1,['强度焊','强度焊+贴胀','强度胀+密封焊','强度胀'])</t>
    <phoneticPr fontId="2" type="noConversion"/>
  </si>
  <si>
    <t>换热管规格</t>
    <phoneticPr fontId="2" type="noConversion"/>
  </si>
  <si>
    <t>换热管连接方式</t>
    <phoneticPr fontId="2" type="noConversion"/>
  </si>
  <si>
    <t>塔板类型/塔板数</t>
    <phoneticPr fontId="2" type="noConversion"/>
  </si>
  <si>
    <t>填料高度</t>
    <phoneticPr fontId="2" type="noConversion"/>
  </si>
  <si>
    <t>((146,216),(74,8),1,['--','XXXXX-01H1100-G-20',])</t>
    <phoneticPr fontId="2" type="noConversion"/>
  </si>
  <si>
    <t>((146,224),(74,8),1,['--','NB/T 10558-2021'])</t>
    <phoneticPr fontId="2" type="noConversion"/>
  </si>
  <si>
    <t>XXXXX-01H1100-G-20','NB/T 10558-2021',</t>
    <phoneticPr fontId="2" type="noConversion"/>
  </si>
  <si>
    <t>[['Equipment',1,'设备','设备--&gt;参数设置'], [False, False, '120', False, False, '2.5', True, False, '0.00', True, False, '0.00'], [False, False, False, True, '板材', 'GB/T 713-2014', 'Q345R', 7.85, False, False, True, False, '', '', 7.9], ['0', '000', 28, '1.28', '0', '0'], [' ', ' ', '1', ' ', '6.4', '6.4', ''], ['换热器', '0.07', '0.00', '7.7', '0.0', None, 'Ⅱ/D2', None, '10', '0.6', '1.0/-0.1', '--', '--', '110/120', '200', '115', '工艺气', '易爆、中度危害', '36.6', None, 'Q345R', '3.0', '1.0/1.0', None, None, '1', '20.6', None, None, None, None, None, '%%c25X2.0 L=6000', '强度焊', None, None, '89.6', '岩棉', '100', '2800', '2900', '2800', '3600', '3800', 'TSG 21-2016《固定式压力容器安全技术监察规程》', 'GB/T 150.1~4-2011《压力容器》', 'GB/T 151-2014 《热交换器》', 'NB/T 47015-2011《压力容器焊接规程》', 'HG/T 20584-2020《钢制化工容器制造技术规范》', '', None, None, '除图中注明的外...', 'AB级', 'B级', '100', 'RT', 'II', '100', 'RT', 'II', '100', 'MT', 'I', None, None, None, None, None, None, None, None, None, None, '1.3', None, '水', '≥5', '--', '--', '管箱消除应力热处理', '25006-001-F-5001','25006-01H1100-G-20','NB/T 10558-2021', None, None, None, None, '0.8', '1.0/-0.1', '--', '--', '135/120', '200', '128', '工艺液', '易爆、中度危害', '996', None, 'Q345R', '3.0', '1.0/1.0', None, None, '4', '18.8', None, None, None, None, None, None, None, None, None, None, '岩棉', '100', None, None, None, None, None, None, None, None, None, None, None, None, None, None, None, None, '100', 'RT', 'II', '100', 'RT', 'II', '100', 'MT', 'I', None, None, None, None, None, None, None, None, None, None, '1.3', None, '水', '≥5', '--', '--', None, None, None, None], [], ['冷凝器', 'E2001', '工艺装置1（001）', '换热器', '工程图 A1', '1:10', '2001']]</t>
    <phoneticPr fontId="2" type="noConversion"/>
  </si>
  <si>
    <t>PlatFormAll</t>
    <phoneticPr fontId="2" type="noConversion"/>
  </si>
  <si>
    <t>设备梯子平台</t>
    <phoneticPr fontId="2" type="noConversion"/>
  </si>
  <si>
    <t>PlatFormVer</t>
    <phoneticPr fontId="2" type="noConversion"/>
  </si>
  <si>
    <t>((40,80),(40,8),1,['3.0','2.0','1.5','1.0'])</t>
    <phoneticPr fontId="2" type="noConversion"/>
  </si>
  <si>
    <t>[['Component',1,'部件','部件--&gt;参数设置'], [False, False, '120', False, False, '2.5', True, False, '0.00', True, False, '0.00'], [False, False, False, True, '板材', 'GB/T 713-2014', 'Q345R', 7.85, False, False, True, False, '', '', 7.9], ['0', '000', 28, '1.28', '0', '0'], [' ', ' ', '1', ' ', '6.4', '6.4', ''], ['换热器', '0.07', '0.00', '7.7', '0.0',], [], ['冷凝器', 'E2001', '工艺装置1（001）', '换热器', '工程图 A1', '1:10', '2001']]</t>
    <phoneticPr fontId="2" type="noConversion"/>
  </si>
  <si>
    <t>((114,136),(66,8),1,['--','0.1',''])</t>
    <phoneticPr fontId="2" type="noConversion"/>
  </si>
  <si>
    <t>((114,128),(66,8),1,['气密试验','氨渗漏','氦检漏(嗅吸探头)','氦检漏(示踪探头)','氦检漏(护罩)',])</t>
    <phoneticPr fontId="2" type="noConversion"/>
  </si>
  <si>
    <t>((114,144),(66,8),1,['气密试验','氨渗漏','氦检漏(嗅吸探头)','氦检漏(示踪探头)','氦检漏(护罩)',])</t>
    <phoneticPr fontId="2" type="noConversion"/>
  </si>
  <si>
    <t>((154,184),(33,8),1,['气密试验','氨渗漏','氦检漏(嗅吸探头)','氦检漏(示踪探头)','氦检漏(护罩)',])</t>
    <phoneticPr fontId="2" type="noConversion"/>
  </si>
  <si>
    <t>((187,184),(33,8),1,['气密试验','氨渗漏','氦检漏(嗅吸探头)','氦检漏(示踪探头)','氦检漏(护罩)',])</t>
    <phoneticPr fontId="2" type="noConversion"/>
  </si>
  <si>
    <t>((114,152),(66,8),1,['气密试验','氨渗漏','氦检漏(嗅吸探头)','氦检漏(示踪探头)','氦检漏(护罩)',])</t>
    <phoneticPr fontId="2" type="noConversion"/>
  </si>
  <si>
    <t>((40,56),(40,8),1,['--','易爆','中度危害','高度危害','极度危害','易爆、中度危害','易爆、高度危害','易爆、极度危害'])</t>
    <phoneticPr fontId="2" type="noConversion"/>
  </si>
  <si>
    <t>[['Nestle',0,'我的项目','ALLPart软件--&gt;我的项目参数设置'],['25006', '面向未来的大项目', '详细设计','工艺装置1（001）\n工艺装置2（002）\n工艺装置3（003）','450','350', '-17.8','-28.6', '8(0.2g)','Ⅱ/第三组', 'C',]]</t>
    <phoneticPr fontId="2" type="noConversion"/>
  </si>
  <si>
    <t>((80,48),(100,8),1,[])</t>
    <phoneticPr fontId="2" type="noConversion"/>
  </si>
  <si>
    <t>((88,56),(92,32),4,[''])</t>
    <phoneticPr fontId="2" type="noConversion"/>
  </si>
  <si>
    <t>((134,120),(26,8),1,['RT','UT','MT','PT','RT+UT','RT+MT','UT+MT'])</t>
    <phoneticPr fontId="2" type="noConversion"/>
  </si>
  <si>
    <t>((160,120),(20,8),1,['I','II','III','I+I','II+I'])</t>
    <phoneticPr fontId="2" type="noConversion"/>
  </si>
  <si>
    <t>((114,120),(20,8),1,['10','20','50','100','100+20','100+100'])</t>
    <phoneticPr fontId="2" type="noConversion"/>
  </si>
  <si>
    <t>((40,72),(40,8),1,['--'])</t>
    <phoneticPr fontId="2" type="noConversion"/>
  </si>
  <si>
    <t>((40,80),(40,8),1,['--'])</t>
    <phoneticPr fontId="2" type="noConversion"/>
  </si>
  <si>
    <t>((40,88),(40,8),1,['--'])</t>
    <phoneticPr fontId="2" type="noConversion"/>
  </si>
  <si>
    <t>((40,96),(40,8),1,['1.0/2.0/2.0','0/1.0/1.0'])</t>
    <phoneticPr fontId="2" type="noConversion"/>
  </si>
  <si>
    <t>((40,104),(40,8),1,['0.9/0.85/0.6','0.85/0.6/0.6'])</t>
    <phoneticPr fontId="2" type="noConversion"/>
  </si>
  <si>
    <t>((40,112),(40,8),1,['--'])</t>
    <phoneticPr fontId="2" type="noConversion"/>
  </si>
  <si>
    <t>((40,120),(40,8),1,['--'])</t>
    <phoneticPr fontId="2" type="noConversion"/>
  </si>
  <si>
    <t>((40,128),(40,8),1,['--'])</t>
    <phoneticPr fontId="2" type="noConversion"/>
  </si>
  <si>
    <t>((40,136),(40,8),1,['--'])</t>
    <phoneticPr fontId="2" type="noConversion"/>
  </si>
  <si>
    <t>((40,144),(40,8),1,['岩棉','硅酸铝','玻璃纤维','高温玻璃纤维','聚氨酯'])</t>
    <phoneticPr fontId="2" type="noConversion"/>
  </si>
  <si>
    <t>((40,152),(40,8),1,['30','50','80','100','120'])</t>
    <phoneticPr fontId="2" type="noConversion"/>
  </si>
  <si>
    <t>((40,160),(40,8),1,['--'])</t>
    <phoneticPr fontId="2" type="noConversion"/>
  </si>
  <si>
    <t>((40,168),(40,8),1,['--'])</t>
    <phoneticPr fontId="2" type="noConversion"/>
  </si>
  <si>
    <t>充水试验高度</t>
    <phoneticPr fontId="2" type="noConversion"/>
  </si>
  <si>
    <t>((88,56),(92,40),4,[''])</t>
    <phoneticPr fontId="2" type="noConversion"/>
  </si>
  <si>
    <t>((114,96),(20,8),1,['A级','AB级','B级'])</t>
    <phoneticPr fontId="2" type="noConversion"/>
  </si>
  <si>
    <t>((160,96),(20,8),1,['A级','B级','C级'])</t>
    <phoneticPr fontId="2" type="noConversion"/>
  </si>
  <si>
    <t>((134,144),(46,8),1,['--'])</t>
    <phoneticPr fontId="2" type="noConversion"/>
  </si>
  <si>
    <t>((134,152),(46,8),1,['--'])</t>
    <phoneticPr fontId="2" type="noConversion"/>
  </si>
  <si>
    <t>((134,160),(46,8),1,['--'])</t>
    <phoneticPr fontId="2" type="noConversion"/>
  </si>
  <si>
    <t>((134,168),(46,8),1,['--'])</t>
    <phoneticPr fontId="2" type="noConversion"/>
  </si>
  <si>
    <t>((106,176),(74,8),1,['--','按本图','待定','HOLD','XXXX-XXXX-F-XXXX',])</t>
    <phoneticPr fontId="2" type="noConversion"/>
  </si>
  <si>
    <t>((106,184),(74,8),1,['--','XXXXX-01H1100-G-20',])</t>
    <phoneticPr fontId="2" type="noConversion"/>
  </si>
  <si>
    <t>((40,88),(40,8),1,['--','易爆','中度危害','高度危害','极度危害','易爆、中度危害','易爆、高度危害','易爆、极度危害'])</t>
    <phoneticPr fontId="2" type="noConversion"/>
  </si>
  <si>
    <t>((80,88),(40,8),1,['--','易爆','中度危害','高度危害','极度危害','易爆、中度危害','易爆、高度危害','易爆、极度危害'])</t>
    <phoneticPr fontId="2" type="noConversion"/>
  </si>
  <si>
    <t>((40,104),(40,8),1,['--'])</t>
    <phoneticPr fontId="2" type="noConversion"/>
  </si>
  <si>
    <t>((80,96),(40,8),1,['--'])</t>
    <phoneticPr fontId="2" type="noConversion"/>
  </si>
  <si>
    <t>((80,104),(40,8),1,['--'])</t>
    <phoneticPr fontId="2" type="noConversion"/>
  </si>
  <si>
    <t>((40,112),(40,8),1,['3.0','2.0','1.5','1.0'])</t>
    <phoneticPr fontId="2" type="noConversion"/>
  </si>
  <si>
    <t>((80,112),(40,8),1,['3.0','2.0','1.5','1.0'])</t>
    <phoneticPr fontId="2" type="noConversion"/>
  </si>
  <si>
    <t>((40,120),(40,8),1,['1.0/1.0','0.9/1.0','0.85/1.0','0.85/0.85'])</t>
    <phoneticPr fontId="2" type="noConversion"/>
  </si>
  <si>
    <t>((80,120),(40,8),1,['1.0/1.0','0.9/1.0','0.85/1.0','0.85/0.85'])</t>
    <phoneticPr fontId="2" type="noConversion"/>
  </si>
  <si>
    <t>((80,128),(40,8),1,['--'])</t>
    <phoneticPr fontId="2" type="noConversion"/>
  </si>
  <si>
    <t>((40,136),(40,8),1,['0.90','0.85','0.80','0.70','0.60'])</t>
    <phoneticPr fontId="2" type="noConversion"/>
  </si>
  <si>
    <t>((80,136),(40,8),1,['0.90','0.85','0.80','0.70','0.60'])</t>
    <phoneticPr fontId="2" type="noConversion"/>
  </si>
  <si>
    <t>((40,144),(40,8),1,['--'])</t>
    <phoneticPr fontId="2" type="noConversion"/>
  </si>
  <si>
    <t>((80,144),(40,8),1,['--'])</t>
    <phoneticPr fontId="2" type="noConversion"/>
  </si>
  <si>
    <t>((40,168),(80,8),1,['--'])</t>
    <phoneticPr fontId="2" type="noConversion"/>
  </si>
  <si>
    <t>((40,176),(80,8),1,['--'])</t>
    <phoneticPr fontId="2" type="noConversion"/>
  </si>
  <si>
    <t>((40,184),(80,8),1,['--'])</t>
    <phoneticPr fontId="2" type="noConversion"/>
  </si>
  <si>
    <t>((40,192),(80,8),1,['--'])</t>
    <phoneticPr fontId="2" type="noConversion"/>
  </si>
  <si>
    <t>((40,200),(80,8),1,['--'])</t>
    <phoneticPr fontId="2" type="noConversion"/>
  </si>
  <si>
    <t>((128,40),(92,24),4,[''])</t>
    <phoneticPr fontId="2" type="noConversion"/>
  </si>
  <si>
    <t>((154,64),(20,8),1,['A级','AB级','B级'])</t>
    <phoneticPr fontId="2" type="noConversion"/>
  </si>
  <si>
    <t>((200,64),(20,8),1,['A级','B级','C级'])</t>
    <phoneticPr fontId="2" type="noConversion"/>
  </si>
  <si>
    <t>((154,80),(20,8),1,['10','20','50','100','100+20','100+100'])</t>
    <phoneticPr fontId="2" type="noConversion"/>
  </si>
  <si>
    <t>((174,80),(26,8),1,['RT','UT','MT','PT','RT+UT','RT+MT','UT+MT'])</t>
    <phoneticPr fontId="2" type="noConversion"/>
  </si>
  <si>
    <t>((200,80),(20,8),1,['I','II','III','I+I','II+I'])</t>
    <phoneticPr fontId="2" type="noConversion"/>
  </si>
  <si>
    <t>((154,96),(20,8),1,['10','20','50','100','100+20','100+100'])</t>
    <phoneticPr fontId="2" type="noConversion"/>
  </si>
  <si>
    <t>((174,96),(26,8),1,['RT','UT','MT','PT','RT+UT','RT+MT','UT+MT'])</t>
    <phoneticPr fontId="2" type="noConversion"/>
  </si>
  <si>
    <t>((200,96),(20,8),1,['I','II','III','I+I','II+I'])</t>
    <phoneticPr fontId="2" type="noConversion"/>
  </si>
  <si>
    <t>((154,88),(20,8),1,['10','20','50','100','100+20','100+100'])</t>
    <phoneticPr fontId="2" type="noConversion"/>
  </si>
  <si>
    <t>((174,88),(26,8),1,['RT','UT','MT','PT','RT+UT','RT+MT','UT+MT'])</t>
    <phoneticPr fontId="2" type="noConversion"/>
  </si>
  <si>
    <t>((200,88),(20,8),1,['I','II','III','I+I','II+I'])</t>
    <phoneticPr fontId="2" type="noConversion"/>
  </si>
  <si>
    <t>((154,104),(20,8),1,['10','20','50','100','100+20','100+100'])</t>
    <phoneticPr fontId="2" type="noConversion"/>
  </si>
  <si>
    <t>((174,104),(26,8),1,['RT','UT','MT','PT','RT+UT','RT+MT','UT+MT'])</t>
    <phoneticPr fontId="2" type="noConversion"/>
  </si>
  <si>
    <t>((200,104),(20,8),1,['I','II','III','I+I','II+I'])</t>
    <phoneticPr fontId="2" type="noConversion"/>
  </si>
  <si>
    <t>((154,112),(20,8),1,['10','20','50','100','100+20','100+100'])</t>
    <phoneticPr fontId="2" type="noConversion"/>
  </si>
  <si>
    <t>((174,112),(26,8),1,['RT','UT','MT','PT','RT+UT','RT+MT','UT+MT'])</t>
    <phoneticPr fontId="2" type="noConversion"/>
  </si>
  <si>
    <t>((200,112),(20,8),1,['I','II','III','I+I','II+I'])</t>
    <phoneticPr fontId="2" type="noConversion"/>
  </si>
  <si>
    <t>((154,120),(20,8),1,['10','20','50','100','100+20','100+100'])</t>
    <phoneticPr fontId="2" type="noConversion"/>
  </si>
  <si>
    <t>((174,120),(26,8),1,['RT','UT','MT','PT','RT+UT','RT+MT','UT+MT'])</t>
    <phoneticPr fontId="2" type="noConversion"/>
  </si>
  <si>
    <t>((200,120),(20,8),1,['I','II','III','I+I','II+I'])</t>
    <phoneticPr fontId="2" type="noConversion"/>
  </si>
  <si>
    <t>((154,136),(33,8),1,['--'])</t>
    <phoneticPr fontId="2" type="noConversion"/>
  </si>
  <si>
    <t>((187,136),(33,8),1,['--'])</t>
    <phoneticPr fontId="2" type="noConversion"/>
  </si>
  <si>
    <t>((154,144),(33,8),1,['水','空气'])</t>
    <phoneticPr fontId="2" type="noConversion"/>
  </si>
  <si>
    <t>((187,144),(33,8),1,['水','空气'])</t>
    <phoneticPr fontId="2" type="noConversion"/>
  </si>
  <si>
    <t>((187,152),(33,8),1,['--','≥5','≥15','5~30','15~30'])</t>
    <phoneticPr fontId="2" type="noConversion"/>
  </si>
  <si>
    <t>((154,152),(33,8),1,['--','≥5','≥15','5~30','15~30'])</t>
    <phoneticPr fontId="2" type="noConversion"/>
  </si>
  <si>
    <t>((154,160),(33,8),1,['气密试验','氨渗漏','氦检漏(嗅吸探头)','氦检漏(示踪探头)','氦检漏(护罩)',])</t>
    <phoneticPr fontId="2" type="noConversion"/>
  </si>
  <si>
    <t>((187,160),(33,8),1,['气密试验','氨渗漏','氦检漏(嗅吸探头)','氦检漏(示踪探头)','氦检漏(护罩)',])</t>
    <phoneticPr fontId="2" type="noConversion"/>
  </si>
  <si>
    <t>((154,168),(33,8),1,['--'])</t>
    <phoneticPr fontId="2" type="noConversion"/>
  </si>
  <si>
    <t>((187,168),(33,8),1,['--'])</t>
    <phoneticPr fontId="2" type="noConversion"/>
  </si>
  <si>
    <t>((146,176),(74,8),1,['--','焊后整体消除应力热处理','盘管固溶热处理','HOLD','待定',])</t>
    <phoneticPr fontId="2" type="noConversion"/>
  </si>
  <si>
    <t>((146,184),(74,8),1,['--','按本图','待定','HOLD','XXXX-XXXX-F-XXXX',])</t>
    <phoneticPr fontId="2" type="noConversion"/>
  </si>
  <si>
    <t>((146,192),(74,8),1,['--','XXXXX-01H1100-G-20',])</t>
    <phoneticPr fontId="2" type="noConversion"/>
  </si>
  <si>
    <t>((146,200),(74,8),1,['--','NB/T 10558-2021'])</t>
    <phoneticPr fontId="2" type="noConversion"/>
  </si>
  <si>
    <t>((40,64),(40,8),1,['--','轻度危害','易爆','中度危害','易爆、中度危害'])</t>
    <phoneticPr fontId="2" type="noConversion"/>
  </si>
  <si>
    <t>[9,10]</t>
    <phoneticPr fontId="2" type="noConversion"/>
  </si>
  <si>
    <t>[8]</t>
    <phoneticPr fontId="2" type="noConversion"/>
  </si>
  <si>
    <t>[6]</t>
    <phoneticPr fontId="2" type="noConversion"/>
  </si>
  <si>
    <t>[3]</t>
    <phoneticPr fontId="2" type="noConversion"/>
  </si>
  <si>
    <t>((80,8),(100,8),1,[])</t>
    <phoneticPr fontId="2" type="noConversion"/>
  </si>
  <si>
    <t>((80,16),(100,8),1,[])</t>
    <phoneticPr fontId="2" type="noConversion"/>
  </si>
  <si>
    <t>((80,24),(100,8),1,[])</t>
    <phoneticPr fontId="2" type="noConversion"/>
  </si>
  <si>
    <t>((80,32),(100,8),1,[])</t>
    <phoneticPr fontId="2" type="noConversion"/>
  </si>
  <si>
    <t>((80,40),(100,8),1,[])</t>
    <phoneticPr fontId="2" type="noConversion"/>
  </si>
  <si>
    <t>((80,48),(100,8),1,[])</t>
    <phoneticPr fontId="2" type="noConversion"/>
  </si>
  <si>
    <t>((40,16),(40,8),1,['--','10','15','20','25'])</t>
    <phoneticPr fontId="2" type="noConversion"/>
  </si>
  <si>
    <t>((40,8),(80,8),1,['--','Ⅰ/D1','Ⅱ/D2','Ⅲ/A1','Ⅲ/A2','Ⅲ/A3','Ⅱ/A3','Ⅰ/A3','Ⅱ/A1','Ⅰ/SAD','Ⅱ/SAD','Ⅲ/SAD'])</t>
    <phoneticPr fontId="2" type="noConversion"/>
  </si>
  <si>
    <t>((40,48),(40,8),1,['--'])</t>
    <phoneticPr fontId="2" type="noConversion"/>
  </si>
  <si>
    <t>((180,360),(60,22),1,['--'])</t>
    <phoneticPr fontId="2" type="noConversion"/>
  </si>
  <si>
    <t>((180,370),(60,22),1,['--'])</t>
    <phoneticPr fontId="2" type="noConversion"/>
  </si>
  <si>
    <t>((180,270),(60,22),1,['--'])</t>
    <phoneticPr fontId="2" type="noConversion"/>
  </si>
  <si>
    <t>((200,330),(60,22),1,['--'])</t>
    <phoneticPr fontId="2" type="noConversion"/>
  </si>
  <si>
    <t>((190,290),(60,22),1,['--'])</t>
    <phoneticPr fontId="2" type="noConversion"/>
  </si>
  <si>
    <t>((200,290),(60,22),1,['--'])</t>
    <phoneticPr fontId="2" type="noConversion"/>
  </si>
  <si>
    <t>((220,270),(60,22),1,['--'])</t>
    <phoneticPr fontId="2" type="noConversion"/>
  </si>
  <si>
    <t>((200,280),(60,22),1,['--'])</t>
    <phoneticPr fontId="2" type="noConversion"/>
  </si>
  <si>
    <t>((180,40),(60,22),1,['--'])</t>
    <phoneticPr fontId="2" type="noConversion"/>
  </si>
  <si>
    <t>((170,30),(60,22),1,['--'])</t>
    <phoneticPr fontId="2" type="noConversion"/>
  </si>
  <si>
    <t>((355,360),(40,22),1,['--'])</t>
    <phoneticPr fontId="2" type="noConversion"/>
  </si>
  <si>
    <t>((340,200),(40,22),1,['--'])</t>
    <phoneticPr fontId="2" type="noConversion"/>
  </si>
  <si>
    <t>((335,180),(40,22),1,['--'])</t>
    <phoneticPr fontId="2" type="noConversion"/>
  </si>
  <si>
    <t>((20,150),(40,22),1,['--'])</t>
    <phoneticPr fontId="2" type="noConversion"/>
  </si>
  <si>
    <t>((25,100),(40,22),1,['--'])</t>
    <phoneticPr fontId="2" type="noConversion"/>
  </si>
  <si>
    <t>((30,100),(40,22),1,['--'])</t>
    <phoneticPr fontId="2" type="noConversion"/>
  </si>
  <si>
    <t>((30,110),(40,22),1,['--'])</t>
    <phoneticPr fontId="2" type="noConversion"/>
  </si>
  <si>
    <t>((70,150),(40,22),3,['--'])</t>
    <phoneticPr fontId="2" type="noConversion"/>
  </si>
  <si>
    <t>((75,100),(40,22),3,['--'])</t>
    <phoneticPr fontId="2" type="noConversion"/>
  </si>
  <si>
    <t>((80,100),(40,22),3,['--'])</t>
    <phoneticPr fontId="2" type="noConversion"/>
  </si>
  <si>
    <t>((80,110),(40,22),3,['--'])</t>
    <phoneticPr fontId="2" type="noConversion"/>
  </si>
  <si>
    <t>((75,130),(40,22),3,['--'])</t>
    <phoneticPr fontId="2" type="noConversion"/>
  </si>
  <si>
    <t>((80,140),(40,22),3,['--'])</t>
    <phoneticPr fontId="2" type="noConversion"/>
  </si>
  <si>
    <t>((270,385),(40,22),1,['--'])</t>
    <phoneticPr fontId="2" type="noConversion"/>
  </si>
  <si>
    <t>((235,200),(40,22),1,['--'])</t>
    <phoneticPr fontId="2" type="noConversion"/>
  </si>
  <si>
    <t>((25,130),(40,22),1,['--'])</t>
    <phoneticPr fontId="2" type="noConversion"/>
  </si>
  <si>
    <t>((30,140),(40,22),1,['--'])</t>
    <phoneticPr fontId="2" type="noConversion"/>
  </si>
  <si>
    <t>((35,200),(60,22),1,['--'])</t>
    <phoneticPr fontId="2" type="noConversion"/>
  </si>
  <si>
    <t>((35,180),(60,22),1,['--'])</t>
    <phoneticPr fontId="2" type="noConversion"/>
  </si>
  <si>
    <t>((30,220),(40,22),1,['--'])</t>
    <phoneticPr fontId="2" type="noConversion"/>
  </si>
  <si>
    <t>((20,280),(60,22),1,['--'])</t>
    <phoneticPr fontId="2" type="noConversion"/>
  </si>
  <si>
    <t>((20,270),(60,22),1,['--'])</t>
    <phoneticPr fontId="2" type="noConversion"/>
  </si>
  <si>
    <t>((30,250),(60,22),1,['--'])</t>
    <phoneticPr fontId="2" type="noConversion"/>
  </si>
  <si>
    <t>((200,235),(60,22),1,['--'])</t>
    <phoneticPr fontId="2" type="noConversion"/>
  </si>
  <si>
    <t>((190,95),(60,22),1,['--'])</t>
    <phoneticPr fontId="2" type="noConversion"/>
  </si>
  <si>
    <t>((354,152),(40,22),1,['--'])</t>
    <phoneticPr fontId="2" type="noConversion"/>
  </si>
  <si>
    <t>((24,200),(60,22),1,['--'])</t>
    <phoneticPr fontId="2" type="noConversion"/>
  </si>
  <si>
    <t>draw1201(px02,px03,(px01-px02)/2)</t>
    <phoneticPr fontId="2" type="noConversion"/>
  </si>
  <si>
    <t>surf</t>
    <phoneticPr fontId="2" type="noConversion"/>
  </si>
  <si>
    <t>vol</t>
    <phoneticPr fontId="2" type="noConversion"/>
  </si>
  <si>
    <t>筒体 DNpx01 t=px03 H=px07</t>
    <phoneticPr fontId="2" type="noConversion"/>
  </si>
  <si>
    <t>筒体 DNpx01 t=px05+px03 H=px07</t>
    <phoneticPr fontId="2" type="noConversion"/>
  </si>
  <si>
    <t>锥壳 t=px03</t>
    <phoneticPr fontId="2" type="noConversion"/>
  </si>
  <si>
    <t>锥壳 t=px05+px03</t>
    <phoneticPr fontId="2" type="noConversion"/>
  </si>
  <si>
    <t>圆环板 t=px03</t>
    <phoneticPr fontId="2" type="noConversion"/>
  </si>
  <si>
    <t>板 t=px03</t>
    <phoneticPr fontId="2" type="noConversion"/>
  </si>
  <si>
    <t>封头EHA</t>
    <phoneticPr fontId="2" type="noConversion"/>
  </si>
  <si>
    <t>封头EHA DNpx01×px03(px04)</t>
    <phoneticPr fontId="2" type="noConversion"/>
  </si>
  <si>
    <t>封头EHA DNpx01×[px05(px06)+px03(px04)]</t>
    <phoneticPr fontId="2" type="noConversion"/>
  </si>
  <si>
    <t>封头EHB</t>
    <phoneticPr fontId="2" type="noConversion"/>
  </si>
  <si>
    <t>封头EHB DNpx01×[px05(px06)+px03(px04)]</t>
    <phoneticPr fontId="2" type="noConversion"/>
  </si>
  <si>
    <t>pi/4*((px01+2*px03)**2-px01**2)*px07</t>
    <phoneticPr fontId="2" type="noConversion"/>
  </si>
  <si>
    <t>jiecengvol</t>
    <phoneticPr fontId="2" type="noConversion"/>
  </si>
  <si>
    <t>fucengvol</t>
    <phoneticPr fontId="2" type="noConversion"/>
  </si>
  <si>
    <t>基层体积</t>
    <phoneticPr fontId="2" type="noConversion"/>
  </si>
  <si>
    <t>复层体积</t>
    <phoneticPr fontId="2" type="noConversion"/>
  </si>
  <si>
    <t>pi/4*((px01+2*(px03+px05))**2-(px01+2*px05)**2)*px07</t>
    <phoneticPr fontId="2" type="noConversion"/>
  </si>
  <si>
    <t>pi*((px01-px02)**2/4+px07**2)**0.5*((px01+px02)/2+px03)*px03</t>
    <phoneticPr fontId="2" type="noConversion"/>
  </si>
  <si>
    <t>pi/4*(px01**2-px02**2)*px03</t>
    <phoneticPr fontId="2" type="noConversion"/>
  </si>
  <si>
    <t>(px01+px02)*px03*px07/2</t>
    <phoneticPr fontId="2" type="noConversion"/>
  </si>
  <si>
    <t>pi*(0.345*(px01+px03)**2+(px01+px03)*px07)*px03</t>
    <phoneticPr fontId="2" type="noConversion"/>
  </si>
  <si>
    <t>pi*(0.345*(px01+px03+2*px05)**2+(px01+px03+2*px05)*px07)*px03</t>
    <phoneticPr fontId="2" type="noConversion"/>
  </si>
  <si>
    <t>pi*(0.345*(px01-px03)**2+(px01-px03)*px07)*px03</t>
    <phoneticPr fontId="2" type="noConversion"/>
  </si>
  <si>
    <t>pi/4*((px01+2*px05)*(px01+2*px05)-px01*px01)*px07</t>
    <phoneticPr fontId="2" type="noConversion"/>
  </si>
  <si>
    <t>pi*((px01-px02)**2/4+px07**2)**0.5*((px01+px02)/2)*px05</t>
    <phoneticPr fontId="2" type="noConversion"/>
  </si>
  <si>
    <t>pi*(0.345*(px01+px05)**2+(px01+px05)*px07)*px05</t>
    <phoneticPr fontId="2" type="noConversion"/>
  </si>
  <si>
    <t>pi*(0.345*(px01-2*px03-px05)**2+(px01-2*px03-px05)*px07)*px05</t>
    <phoneticPr fontId="2" type="noConversion"/>
  </si>
  <si>
    <t>img1211.bmp</t>
    <phoneticPr fontId="2" type="noConversion"/>
  </si>
  <si>
    <t>img1212.bmp</t>
    <phoneticPr fontId="2" type="noConversion"/>
  </si>
  <si>
    <t>管板</t>
    <phoneticPr fontId="2" type="noConversion"/>
  </si>
  <si>
    <t>换热管</t>
    <phoneticPr fontId="2" type="noConversion"/>
  </si>
  <si>
    <t>是</t>
    <phoneticPr fontId="2" type="noConversion"/>
  </si>
  <si>
    <t>管板 t=px03</t>
    <phoneticPr fontId="2" type="noConversion"/>
  </si>
  <si>
    <t>管板</t>
    <phoneticPr fontId="2" type="noConversion"/>
  </si>
  <si>
    <t>((39,188),(60,22),1,['--'])</t>
    <phoneticPr fontId="2" type="noConversion"/>
  </si>
  <si>
    <t>pi*px01*(px03+px05)</t>
    <phoneticPr fontId="2" type="noConversion"/>
  </si>
  <si>
    <t>pi/4*(px01**2-px07*px02**2)*px03</t>
    <phoneticPr fontId="2" type="noConversion"/>
  </si>
  <si>
    <t>pi/4*(px01**2-px07*px02**2)*px05</t>
    <phoneticPr fontId="2" type="noConversion"/>
  </si>
  <si>
    <t>封头EHB DNpx01×px03(px04)</t>
    <phoneticPr fontId="2" type="noConversion"/>
  </si>
  <si>
    <t>换热管 φpx01×px03</t>
    <phoneticPr fontId="2" type="noConversion"/>
  </si>
  <si>
    <t>((186,306),(60,22),1,['--'])</t>
    <phoneticPr fontId="2" type="noConversion"/>
  </si>
  <si>
    <t>pi*(px01-2*px03)*px07</t>
    <phoneticPr fontId="2" type="noConversion"/>
  </si>
  <si>
    <t>换热管</t>
    <phoneticPr fontId="2" type="noConversion"/>
  </si>
  <si>
    <t>((138,387),(60,22),1,['--'])</t>
    <phoneticPr fontId="2" type="noConversion"/>
  </si>
  <si>
    <t>((55,387),(50,22),1,['--'])</t>
    <phoneticPr fontId="2" type="noConversion"/>
  </si>
  <si>
    <t>((44,16),(60,22),1,['--'])</t>
    <phoneticPr fontId="2" type="noConversion"/>
  </si>
  <si>
    <t>((167,16),(60,22),1,['--'])</t>
    <phoneticPr fontId="2" type="noConversion"/>
  </si>
  <si>
    <t>((75,222),(60,22),1,['--'])</t>
    <phoneticPr fontId="2" type="noConversion"/>
  </si>
  <si>
    <t>((320,222),(60,22),1,['--'])</t>
    <phoneticPr fontId="2" type="noConversion"/>
  </si>
  <si>
    <t>pi/4*(px01**2-(px01-2*px03)**2)*px07</t>
    <phoneticPr fontId="2" type="noConversion"/>
  </si>
  <si>
    <t>pi*px01*(px07-px05-px02)</t>
    <phoneticPr fontId="2" type="noConversion"/>
  </si>
  <si>
    <t>((380,230),(60,22),1,['--'])</t>
    <phoneticPr fontId="2" type="noConversion"/>
  </si>
  <si>
    <t>((275,230),(60,22),1,['--'])</t>
    <phoneticPr fontId="2" type="noConversion"/>
  </si>
  <si>
    <t>[['PlatFormAll', 1, '塔器平台', '塔器平台--&gt;参数设置'], ['8302', '5000','A1V', '1:10']]</t>
    <phoneticPr fontId="2" type="noConversion"/>
  </si>
  <si>
    <t>[['PlatFormVer',1, 'EL5000', '塔平台--&gt;'], ['2000＜OD≤3100', '30', '2632', True, '5000', '1000', '1 级，2.0kN/m2', '悬臂式托架  XTJ', '', '', '210', '', '']]</t>
    <phoneticPr fontId="2" type="noConversion"/>
  </si>
  <si>
    <t>[['PlatFormHor', 3, '卧式设备平台', '卧式平台--&gt; EL10000'], ['8317', 'Ⅱ型（双侧）DN1000~3200', '10000', '8900', '7600', '7000', '2024', '8000', '120', '900', '100', '200', '500', '8200', 'A1', '1:30']]</t>
    <phoneticPr fontId="2" type="noConversion"/>
  </si>
  <si>
    <t>img1213.bmp</t>
  </si>
  <si>
    <t>img1214.bmp</t>
  </si>
  <si>
    <t>img1215.bmp</t>
  </si>
  <si>
    <t>球冠</t>
    <phoneticPr fontId="2" type="noConversion"/>
  </si>
  <si>
    <t>椭圆封头 EHB(带复合层)</t>
    <phoneticPr fontId="2" type="noConversion"/>
  </si>
  <si>
    <t>球冠(带复合层)</t>
    <phoneticPr fontId="2" type="noConversion"/>
  </si>
  <si>
    <t>偏锥</t>
    <phoneticPr fontId="2" type="noConversion"/>
  </si>
  <si>
    <t>偏锥(带复合层)</t>
    <phoneticPr fontId="2" type="noConversion"/>
  </si>
  <si>
    <t>封头 t=px03(px04)</t>
    <phoneticPr fontId="2" type="noConversion"/>
  </si>
  <si>
    <t>封头 t=[px05(px06)+px03(px04)]</t>
    <phoneticPr fontId="2" type="noConversion"/>
  </si>
  <si>
    <t>偏锥 t=px03</t>
    <phoneticPr fontId="2" type="noConversion"/>
  </si>
  <si>
    <t>偏锥 t=px05+px03</t>
    <phoneticPr fontId="2" type="noConversion"/>
  </si>
  <si>
    <t>((168,217),(60,22),1,['--'])</t>
    <phoneticPr fontId="2" type="noConversion"/>
  </si>
  <si>
    <t>((28,110),(60,22),1,['--'])</t>
    <phoneticPr fontId="2" type="noConversion"/>
  </si>
  <si>
    <t>((43,296),(60,22),1,['--'])</t>
    <phoneticPr fontId="2" type="noConversion"/>
  </si>
  <si>
    <t>1/3*pi*(2*px01+px07)*(px01-px07)**2</t>
    <phoneticPr fontId="2" type="noConversion"/>
  </si>
  <si>
    <t>2*pi*(px01+px03)*(px01-px07+px03)*px03</t>
    <phoneticPr fontId="2" type="noConversion"/>
  </si>
  <si>
    <t>2*pi*(px01+px03)*(px01-px07+px03)</t>
    <phoneticPr fontId="2" type="noConversion"/>
  </si>
  <si>
    <t>2*pi*(px01+px03+px05)*(px01-px07+px03+px05)</t>
    <phoneticPr fontId="2" type="noConversion"/>
  </si>
  <si>
    <t>2*pi*(px01+px05)*(px01-px07+px05)*px05</t>
    <phoneticPr fontId="2" type="noConversion"/>
  </si>
  <si>
    <t>2*pi*(px01+px03+px05)*(px01-px07+px03+px05)*px03</t>
    <phoneticPr fontId="2" type="noConversion"/>
  </si>
  <si>
    <t>((141,163),(60,22),1,['--'])</t>
    <phoneticPr fontId="2" type="noConversion"/>
  </si>
  <si>
    <t>((5,200),(60,22),1,['--'])</t>
    <phoneticPr fontId="2" type="noConversion"/>
  </si>
  <si>
    <t>((395,128),(60,22),1,['--'])</t>
    <phoneticPr fontId="2" type="noConversion"/>
  </si>
  <si>
    <t>((124,48),(40,22),1,['--'])</t>
    <phoneticPr fontId="2" type="noConversion"/>
  </si>
  <si>
    <t>((170,342),(60,22),1,['--'])</t>
    <phoneticPr fontId="2" type="noConversion"/>
  </si>
  <si>
    <t>((197,146),(40,22),1,['--'])</t>
    <phoneticPr fontId="2" type="noConversion"/>
  </si>
  <si>
    <t>((90,110),(40,22),3,['--'])</t>
    <phoneticPr fontId="2" type="noConversion"/>
  </si>
  <si>
    <t>((203,163),(40,22),3,['--'])</t>
    <phoneticPr fontId="2" type="noConversion"/>
  </si>
  <si>
    <t>((178,225),(60,22),1,['--'])</t>
    <phoneticPr fontId="2" type="noConversion"/>
  </si>
  <si>
    <t>((40,8),(40,8),1,['--','固定顶/无类','固定顶/Ⅰ类','固定顶/Ⅱ类','固定顶/Ⅲ类','内浮顶/Ⅰ类','内浮顶/Ⅱ类','内浮顶/Ⅲ类','外浮顶/Ⅰ类','外浮顶/Ⅱ类','外浮顶/Ⅲ类',])</t>
    <phoneticPr fontId="2" type="noConversion"/>
  </si>
  <si>
    <t>pi/4*px02**2*px05</t>
    <phoneticPr fontId="2" type="noConversion"/>
  </si>
  <si>
    <t>pi/4*(px02**2*px05+(px01**2+px07**2)/2*(px08-px05)-px06**2*px08)</t>
    <phoneticPr fontId="2" type="noConversion"/>
  </si>
  <si>
    <t>pi/4*(px02**2*px05+px07*(px08-px05)-px06**2*px08)</t>
    <phoneticPr fontId="2" type="noConversion"/>
  </si>
  <si>
    <t>pi/4*(px02**2*px05-px06**2*px05)</t>
    <phoneticPr fontId="2" type="noConversion"/>
  </si>
  <si>
    <t>pi*px06*6*px08</t>
    <phoneticPr fontId="2" type="noConversion"/>
  </si>
  <si>
    <t>pi/4*(px11**2-px06**2)*max(6,px12)</t>
    <phoneticPr fontId="2" type="noConversion"/>
  </si>
  <si>
    <t>pi/4*(px11**2-px06**2)*max(6,px17)</t>
    <phoneticPr fontId="2" type="noConversion"/>
  </si>
  <si>
    <t>pi/4*(px11**2-px06**2)*max(6,px13)</t>
    <phoneticPr fontId="2" type="noConversion"/>
  </si>
  <si>
    <t>HG/T 20615-2009;HG/T 20592-2009;HG/T 20623-2009</t>
    <phoneticPr fontId="2" type="noConversion"/>
  </si>
  <si>
    <t>HG/T 20615-2009;HG/T 20592-2009</t>
    <phoneticPr fontId="2" type="noConversion"/>
  </si>
  <si>
    <t>pi/4*(px01**2-(px01-2*px02+2*min(5,px02))**2)*px05</t>
    <phoneticPr fontId="2" type="noConversion"/>
  </si>
  <si>
    <t>(((px01-2*px02)+px04)*(px04-min(5,px02))*(px05-px03)+(px01-px02)*(px02-min(5,px02))*px03)*pi</t>
    <phoneticPr fontId="2" type="noConversion"/>
  </si>
  <si>
    <t>(((px01-2*px02)+px04)*(px04-min(5,px02))*(px05-2*px03)+(px01-px02)*(px02-min(5,px02))*px03*2)*pi</t>
    <phoneticPr fontId="2" type="noConversion"/>
  </si>
  <si>
    <t>pi/4*((px01-2*px02+2*min(5,px02))**2-(px01-2*px02)**2)*px05</t>
    <phoneticPr fontId="2" type="noConversion"/>
  </si>
  <si>
    <t>((110,150),(60,22),5,'--')</t>
  </si>
  <si>
    <t>((184,123),(60,22),5,'--')</t>
  </si>
  <si>
    <t>((299, 109),(120,22),5,'--')</t>
  </si>
  <si>
    <t>((85,137),(60,22),5,'--')</t>
  </si>
  <si>
    <t>((50,192),(60,22),5,'--')</t>
  </si>
  <si>
    <t>((120,175),(60,22),5,'--')</t>
  </si>
  <si>
    <t>((296, 133),(120,22),5,'--')</t>
  </si>
  <si>
    <t>((210,154),(60,22),5,'--')</t>
  </si>
  <si>
    <t>((62,190),(60,22),5,'--')</t>
  </si>
  <si>
    <t>((98,168),(60,22),5,'--')</t>
  </si>
  <si>
    <t>((300,134),(120,22),5,'--')</t>
  </si>
  <si>
    <t>((157,143),(60,22),5,'--')</t>
  </si>
  <si>
    <t>((25,207),(60,22),5,'--')</t>
  </si>
  <si>
    <t>((110,185),(60,22),5,'--')</t>
  </si>
  <si>
    <t>((299,153),(120,22),5,'--')</t>
  </si>
  <si>
    <t>((160,162),(60,22),5,'--')</t>
  </si>
  <si>
    <t>((190,132),(60,22),5,'--')</t>
  </si>
  <si>
    <t>((95,74),(50,22),5,'--')</t>
  </si>
  <si>
    <t>((136,168),(60,22),5,'--')</t>
  </si>
  <si>
    <t>((164,142),(60,22),5,'--')</t>
  </si>
  <si>
    <t>((280,130),(120,22),5,'--')</t>
  </si>
  <si>
    <t>((6,6),(60,22),5,'--')</t>
  </si>
  <si>
    <t>((170,4),(40,22),5,'--')</t>
  </si>
  <si>
    <t>((20,5),(60,22),5,'--')</t>
  </si>
  <si>
    <t>((0,27),(60,22),5,'--')</t>
  </si>
  <si>
    <t>((155,9),(40,22),5,'--')</t>
  </si>
  <si>
    <t>((20,1),(60,22),5,'--')</t>
  </si>
  <si>
    <t>((5,26),(60,22),5,'--')</t>
  </si>
  <si>
    <t>((190,34),(40,22),5,'--')</t>
  </si>
  <si>
    <t>((47,47),(40,22),5,'--')</t>
  </si>
  <si>
    <t>((50,96),(40,22),5,'--')</t>
  </si>
  <si>
    <t>n1-φ配M</t>
    <phoneticPr fontId="2" type="noConversion"/>
  </si>
  <si>
    <t>W</t>
    <phoneticPr fontId="7" type="noConversion"/>
  </si>
  <si>
    <t>X</t>
    <phoneticPr fontId="7" type="noConversion"/>
  </si>
  <si>
    <t>Y</t>
    <phoneticPr fontId="7" type="noConversion"/>
  </si>
  <si>
    <t>Z</t>
    <phoneticPr fontId="7" type="noConversion"/>
  </si>
  <si>
    <t>RF</t>
    <phoneticPr fontId="2" type="noConversion"/>
  </si>
  <si>
    <t>M</t>
    <phoneticPr fontId="2" type="noConversion"/>
  </si>
  <si>
    <t>FM</t>
    <phoneticPr fontId="2" type="noConversion"/>
  </si>
  <si>
    <t>T</t>
    <phoneticPr fontId="2" type="noConversion"/>
  </si>
  <si>
    <t>((40,0),(60,22),5,'--')</t>
    <phoneticPr fontId="2" type="noConversion"/>
  </si>
  <si>
    <t>f1</t>
    <phoneticPr fontId="2" type="noConversion"/>
  </si>
  <si>
    <t>RF</t>
    <phoneticPr fontId="2" type="noConversion"/>
  </si>
  <si>
    <t>MFMTG</t>
    <phoneticPr fontId="2" type="noConversion"/>
  </si>
  <si>
    <t>RJ</t>
    <phoneticPr fontId="2" type="noConversion"/>
  </si>
  <si>
    <t>d</t>
    <phoneticPr fontId="2" type="noConversion"/>
  </si>
  <si>
    <t>((30,22),(60,22),5,'--')</t>
    <phoneticPr fontId="2" type="noConversion"/>
  </si>
  <si>
    <t>((0,44),(60,22),5,'--')</t>
    <phoneticPr fontId="2" type="noConversion"/>
  </si>
  <si>
    <t>((178,22),(40,22),5,'--')</t>
    <phoneticPr fontId="2" type="noConversion"/>
  </si>
  <si>
    <t>img1102.bmp</t>
    <phoneticPr fontId="2" type="noConversion"/>
  </si>
  <si>
    <t>img1103.bmp</t>
  </si>
  <si>
    <t>img1105.bmp</t>
  </si>
  <si>
    <t>HG/T 20615-2009</t>
    <phoneticPr fontId="2" type="noConversion"/>
  </si>
  <si>
    <t>HG/T 20592-2009</t>
    <phoneticPr fontId="2" type="noConversion"/>
  </si>
  <si>
    <t>((70,85),(40,22),5,'--')</t>
    <phoneticPr fontId="2" type="noConversion"/>
  </si>
  <si>
    <t>((175,10),(40,22),5,'--')</t>
    <phoneticPr fontId="2" type="noConversion"/>
  </si>
  <si>
    <t>((40,100),(40,22),5,'--')</t>
    <phoneticPr fontId="2" type="noConversion"/>
  </si>
  <si>
    <t>((40,0),(60,22),5,'--')</t>
    <phoneticPr fontId="2" type="noConversion"/>
  </si>
  <si>
    <t>((30,22),(60,22),5,'--')</t>
    <phoneticPr fontId="2" type="noConversion"/>
  </si>
  <si>
    <t>((20,44),(60,22),5,'--')</t>
    <phoneticPr fontId="2" type="noConversion"/>
  </si>
  <si>
    <t>((175,40),(40,22),5,'--')</t>
    <phoneticPr fontId="2" type="noConversion"/>
  </si>
  <si>
    <t>px01/px11</t>
    <phoneticPr fontId="2" type="noConversion"/>
  </si>
  <si>
    <t>px02/px12</t>
    <phoneticPr fontId="2" type="noConversion"/>
  </si>
  <si>
    <t>px03/px13</t>
    <phoneticPr fontId="2" type="noConversion"/>
  </si>
  <si>
    <t>px04/px14</t>
    <phoneticPr fontId="2" type="noConversion"/>
  </si>
  <si>
    <t>px05/px15</t>
    <phoneticPr fontId="2" type="noConversion"/>
  </si>
  <si>
    <t>px06/px16</t>
    <phoneticPr fontId="2" type="noConversion"/>
  </si>
  <si>
    <t>px07/px17</t>
    <phoneticPr fontId="2" type="noConversion"/>
  </si>
  <si>
    <t>px08/px18</t>
    <phoneticPr fontId="2" type="noConversion"/>
  </si>
  <si>
    <t>px09/px19</t>
    <phoneticPr fontId="2" type="noConversion"/>
  </si>
  <si>
    <t>px10/px20</t>
    <phoneticPr fontId="2" type="noConversion"/>
  </si>
  <si>
    <t>pi/4*px06**2*px16</t>
    <phoneticPr fontId="2" type="noConversion"/>
  </si>
  <si>
    <t>pi/4*(px13**2-px06**2)*max(6,px16)</t>
    <phoneticPr fontId="2" type="noConversion"/>
  </si>
  <si>
    <t>pi/4*(px11**2-px06**2)*max(6,px18)</t>
    <phoneticPr fontId="2" type="noConversion"/>
  </si>
  <si>
    <t>pi/4*(px13**2-px06**2)*max(6,px18)</t>
    <phoneticPr fontId="2" type="noConversion"/>
  </si>
  <si>
    <t>pi/4*px06**2*px17</t>
    <phoneticPr fontId="2" type="noConversion"/>
  </si>
  <si>
    <t>pi/4*(px14**2-px06**2)*max(6,px17)</t>
    <phoneticPr fontId="2" type="noConversion"/>
  </si>
  <si>
    <t>((375, 32),(60,22),3,'--')</t>
    <phoneticPr fontId="2" type="noConversion"/>
  </si>
  <si>
    <t>((348,26),(40,22),3,'--')</t>
    <phoneticPr fontId="2" type="noConversion"/>
  </si>
  <si>
    <t>((350,27),(40,22),3,'--')</t>
    <phoneticPr fontId="2" type="noConversion"/>
  </si>
  <si>
    <t>((350,45),(40,22),3,'--')</t>
    <phoneticPr fontId="2" type="noConversion"/>
  </si>
  <si>
    <t>((370,50),(40,22),3,'--')</t>
    <phoneticPr fontId="2" type="noConversion"/>
  </si>
  <si>
    <t>((360,60),(50,22),3,'--')</t>
    <phoneticPr fontId="2" type="noConversion"/>
  </si>
  <si>
    <t>((377,54),(40,22),3,'--')</t>
    <phoneticPr fontId="2" type="noConversion"/>
  </si>
  <si>
    <t>((375,75),(50,22),3,'--')</t>
    <phoneticPr fontId="2" type="noConversion"/>
  </si>
  <si>
    <t>((166,117),(60,22),3,'--')</t>
    <phoneticPr fontId="2" type="noConversion"/>
  </si>
  <si>
    <t>((193,113),(60,22),3,'--')</t>
    <phoneticPr fontId="2" type="noConversion"/>
  </si>
  <si>
    <t>((141,0),(60,22),3,'--')</t>
    <phoneticPr fontId="2" type="noConversion"/>
  </si>
  <si>
    <t>((160,0),(60,22),3,'--')</t>
    <phoneticPr fontId="2" type="noConversion"/>
  </si>
  <si>
    <t>(2*px04+px05)*px03/2*px01*1.05</t>
    <phoneticPr fontId="2" type="noConversion"/>
  </si>
  <si>
    <t>(2*px04+px05)/2*px03*px01</t>
    <phoneticPr fontId="2" type="noConversion"/>
  </si>
  <si>
    <t>(100+px10+px02+px11)*px08*px02*1.25</t>
    <phoneticPr fontId="2" type="noConversion"/>
  </si>
  <si>
    <t>(pi*px03*px07*px06+pi/4*px05**2*px08)</t>
    <phoneticPr fontId="2" type="noConversion"/>
  </si>
  <si>
    <t>(pi*px03*px07*px06+pi/4*(px05**2-px03**2)*px08+px03*px06*px07*2)</t>
    <phoneticPr fontId="2" type="noConversion"/>
  </si>
  <si>
    <t>(pi*px03*px07*px06+pi/4*(px05**2-px03**2)*px08+px03*px06*px07*4)</t>
    <phoneticPr fontId="2" type="noConversion"/>
  </si>
  <si>
    <t>((2*px05*px06+pi*px05**2/2)*px01+pi/4*px04**2*2*px02-pi/4*px03**2*(2*px02+px01))</t>
    <phoneticPr fontId="2" type="noConversion"/>
  </si>
  <si>
    <t>((2*px05*px06+pi*px05**2/2)*px01+pi/4*px04**2*2*px02-pi/4*px03**2*(2*px02+px01))*2</t>
    <phoneticPr fontId="2" type="noConversion"/>
  </si>
  <si>
    <t>(2*px04+px05)*px03/2*px01*1.15</t>
    <phoneticPr fontId="2" type="noConversion"/>
  </si>
  <si>
    <t>((px02+px04)/2*px03-pi/4*px11**2)*px09</t>
    <phoneticPr fontId="2" type="noConversion"/>
  </si>
  <si>
    <t>px05*px06*px15</t>
    <phoneticPr fontId="2" type="noConversion"/>
  </si>
  <si>
    <t>px04*px05*px15</t>
    <phoneticPr fontId="2" type="noConversion"/>
  </si>
  <si>
    <t>px09*px12*px15</t>
    <phoneticPr fontId="2" type="noConversion"/>
  </si>
  <si>
    <t>pi/4*(px04**2-px03**2)*px15</t>
    <phoneticPr fontId="2" type="noConversion"/>
  </si>
  <si>
    <t>pi/4*(px04**2-px03**2)*px15</t>
    <phoneticPr fontId="2" type="noConversion"/>
  </si>
  <si>
    <t>px01*px08*px14</t>
    <phoneticPr fontId="2" type="noConversion"/>
  </si>
  <si>
    <t>((35,88),(40,20),3,'')</t>
    <phoneticPr fontId="2" type="noConversion"/>
  </si>
  <si>
    <t>((169,78),(40,20),3,'')</t>
    <phoneticPr fontId="2" type="noConversion"/>
  </si>
  <si>
    <t>((149,176),(40,20),3,'')</t>
    <phoneticPr fontId="2" type="noConversion"/>
  </si>
  <si>
    <t>((109,91),(40,20),3,'')</t>
    <phoneticPr fontId="2" type="noConversion"/>
  </si>
  <si>
    <t>((303,246),(40,20),3,'')</t>
    <phoneticPr fontId="2" type="noConversion"/>
  </si>
  <si>
    <t>((411,381),(40,20),3,'')</t>
    <phoneticPr fontId="2" type="noConversion"/>
  </si>
  <si>
    <t>((35,88),(40,20),3,'')</t>
    <phoneticPr fontId="2" type="noConversion"/>
  </si>
  <si>
    <t>((149,176),(40,20),3,'')</t>
    <phoneticPr fontId="2" type="noConversion"/>
  </si>
  <si>
    <t>((109,91),(40,20),3,'')</t>
    <phoneticPr fontId="2" type="noConversion"/>
  </si>
  <si>
    <t>((411,381),(40,20),3,'')</t>
    <phoneticPr fontId="2" type="noConversion"/>
  </si>
  <si>
    <t>((106,346),(40,20),3,'')</t>
    <phoneticPr fontId="2" type="noConversion"/>
  </si>
  <si>
    <t>((393,185),(40,20),3,'')</t>
    <phoneticPr fontId="2" type="noConversion"/>
  </si>
  <si>
    <t>((259,99),(40,20),3,'')</t>
    <phoneticPr fontId="2" type="noConversion"/>
  </si>
  <si>
    <t>((33,50),(40,20),3,'')</t>
    <phoneticPr fontId="2" type="noConversion"/>
  </si>
  <si>
    <t>((203,254),(40,20),3,'')</t>
    <phoneticPr fontId="2" type="noConversion"/>
  </si>
  <si>
    <t>((338,347),(40,20),3,'')</t>
    <phoneticPr fontId="2" type="noConversion"/>
  </si>
  <si>
    <t>((130,330),(40,20),3,'')</t>
    <phoneticPr fontId="2" type="noConversion"/>
  </si>
  <si>
    <t>((225,50),(40,20),3,'')</t>
    <phoneticPr fontId="2" type="noConversion"/>
  </si>
  <si>
    <t>((400,50),(40,20),3,'')</t>
    <phoneticPr fontId="2" type="noConversion"/>
  </si>
  <si>
    <t>((128,46),(40,20),3,'')</t>
    <phoneticPr fontId="2" type="noConversion"/>
  </si>
  <si>
    <t>((350,370),(40,20),3,'')</t>
    <phoneticPr fontId="2" type="noConversion"/>
  </si>
  <si>
    <t>((223,383),(40,20),3,'')</t>
    <phoneticPr fontId="2" type="noConversion"/>
  </si>
  <si>
    <t>((360,392),(40,20),3,'')</t>
    <phoneticPr fontId="2" type="noConversion"/>
  </si>
  <si>
    <t>((360,420),(40,20),3,'')</t>
    <phoneticPr fontId="2" type="noConversion"/>
  </si>
  <si>
    <t>((216,282),(40,20),3,'')</t>
    <phoneticPr fontId="2" type="noConversion"/>
  </si>
  <si>
    <t>((26,116),(40,20),3,'')</t>
    <phoneticPr fontId="2" type="noConversion"/>
  </si>
  <si>
    <t>((413,342),(40,20),3,'')</t>
    <phoneticPr fontId="2" type="noConversion"/>
  </si>
  <si>
    <t>((367,305),(30,20),3,'')</t>
    <phoneticPr fontId="2" type="noConversion"/>
  </si>
  <si>
    <t>((148,391),(30,20),3,'')</t>
    <phoneticPr fontId="2" type="noConversion"/>
  </si>
  <si>
    <t>((194,195),(40,20),3,'')</t>
    <phoneticPr fontId="2" type="noConversion"/>
  </si>
  <si>
    <t>((49,206),(40,20),3,'')</t>
    <phoneticPr fontId="2" type="noConversion"/>
  </si>
  <si>
    <t>((393,208),(40,20),3,'')</t>
    <phoneticPr fontId="2" type="noConversion"/>
  </si>
  <si>
    <t>((191,404),(40,20),3,'')</t>
    <phoneticPr fontId="2" type="noConversion"/>
  </si>
  <si>
    <t>((182,114),(40,20),3,'')</t>
    <phoneticPr fontId="2" type="noConversion"/>
  </si>
  <si>
    <t>((359,380),(40,20),3,'')</t>
    <phoneticPr fontId="2" type="noConversion"/>
  </si>
  <si>
    <t>((48,201),(40,20),3,'')</t>
    <phoneticPr fontId="2" type="noConversion"/>
  </si>
  <si>
    <t>((247,191),(40,20),3,'')</t>
    <phoneticPr fontId="2" type="noConversion"/>
  </si>
  <si>
    <t>((5,228),(40,20),3,'')</t>
    <phoneticPr fontId="2" type="noConversion"/>
  </si>
  <si>
    <t>((121,317),(40,20),3,'')</t>
    <phoneticPr fontId="2" type="noConversion"/>
  </si>
  <si>
    <t>((114,132),(40,20),3,'')</t>
    <phoneticPr fontId="2" type="noConversion"/>
  </si>
  <si>
    <t>((103,307),(40,20),3,'')</t>
    <phoneticPr fontId="2" type="noConversion"/>
  </si>
  <si>
    <t>((362,78),(40,20),3,'')</t>
    <phoneticPr fontId="2" type="noConversion"/>
  </si>
  <si>
    <t>((46,188),(40,20),3,'')</t>
    <phoneticPr fontId="2" type="noConversion"/>
  </si>
  <si>
    <t>((212,223),(40,20),3,'')</t>
    <phoneticPr fontId="2" type="noConversion"/>
  </si>
  <si>
    <t>((5,228),(40,20),3,'')</t>
    <phoneticPr fontId="2" type="noConversion"/>
  </si>
  <si>
    <t>((120,308),(40,20),3,'')</t>
    <phoneticPr fontId="2" type="noConversion"/>
  </si>
  <si>
    <t>((111,126),(40,20),3,'')</t>
    <phoneticPr fontId="2" type="noConversion"/>
  </si>
  <si>
    <t>((94,300),(40,20),3,'')</t>
    <phoneticPr fontId="2" type="noConversion"/>
  </si>
  <si>
    <t>((380,388),(40,20),3,'')</t>
    <phoneticPr fontId="2" type="noConversion"/>
  </si>
  <si>
    <t>((380,429),(40,20),3,'')</t>
    <phoneticPr fontId="2" type="noConversion"/>
  </si>
  <si>
    <t>((360,200),(40,20),3,'')</t>
    <phoneticPr fontId="2" type="noConversion"/>
  </si>
  <si>
    <t>((359,22),(40,20),3,'')</t>
    <phoneticPr fontId="2" type="noConversion"/>
  </si>
  <si>
    <t>((355,69),(40,20),3,'')</t>
    <phoneticPr fontId="2" type="noConversion"/>
  </si>
  <si>
    <t>((194,251),(40,20),3,'')</t>
    <phoneticPr fontId="2" type="noConversion"/>
  </si>
  <si>
    <t>((361,327),(40,20),3,'')</t>
    <phoneticPr fontId="2" type="noConversion"/>
  </si>
  <si>
    <t>((361,365),(40,20),3,'')</t>
    <phoneticPr fontId="2" type="noConversion"/>
  </si>
  <si>
    <t>((361,198),(40,20),3,'')</t>
    <phoneticPr fontId="2" type="noConversion"/>
  </si>
  <si>
    <t>((358,24),(40,20),3,'')</t>
    <phoneticPr fontId="2" type="noConversion"/>
  </si>
  <si>
    <t>((356,75),(40,20),3,'')</t>
    <phoneticPr fontId="2" type="noConversion"/>
  </si>
  <si>
    <t>((191,247),(40,20),3,'')</t>
    <phoneticPr fontId="2" type="noConversion"/>
  </si>
  <si>
    <t>((380,85),(40,20),3,'')</t>
    <phoneticPr fontId="2" type="noConversion"/>
  </si>
  <si>
    <t>((235,210),(40,20),3,'')</t>
    <phoneticPr fontId="2" type="noConversion"/>
  </si>
  <si>
    <t>((163,127),(40,20),3,'')</t>
    <phoneticPr fontId="2" type="noConversion"/>
  </si>
  <si>
    <t>((24,138),(40,20),3,'')</t>
    <phoneticPr fontId="2" type="noConversion"/>
  </si>
  <si>
    <t>((156,316),(40,20),3,'')</t>
    <phoneticPr fontId="2" type="noConversion"/>
  </si>
  <si>
    <t>((7,193),(40,20),3,'')</t>
    <phoneticPr fontId="2" type="noConversion"/>
  </si>
  <si>
    <t>((30,239),(40,20),3,'')</t>
    <phoneticPr fontId="2" type="noConversion"/>
  </si>
  <si>
    <t>((141,87),(40,20),3,'')</t>
    <phoneticPr fontId="2" type="noConversion"/>
  </si>
  <si>
    <t>((218,197),(40,20),3,'')</t>
    <phoneticPr fontId="2" type="noConversion"/>
  </si>
  <si>
    <t>((177,134),(40,20),3,'')</t>
    <phoneticPr fontId="2" type="noConversion"/>
  </si>
  <si>
    <t>((139,267),(40,20),3,'')</t>
    <phoneticPr fontId="2" type="noConversion"/>
  </si>
  <si>
    <t>((107,334),(40,20),3,'')</t>
    <phoneticPr fontId="2" type="noConversion"/>
  </si>
  <si>
    <t>((242,241),(40,20),3,'')</t>
    <phoneticPr fontId="2" type="noConversion"/>
  </si>
  <si>
    <t>((428,266),(40,20),3,'')</t>
    <phoneticPr fontId="2" type="noConversion"/>
  </si>
  <si>
    <t>((30,76),(40,20),3,'')</t>
    <phoneticPr fontId="2" type="noConversion"/>
  </si>
  <si>
    <t>((15,145),(40,20),3,'')</t>
    <phoneticPr fontId="2" type="noConversion"/>
  </si>
  <si>
    <t>三通</t>
    <phoneticPr fontId="2" type="noConversion"/>
  </si>
  <si>
    <t>GB/T 12459-2017</t>
  </si>
  <si>
    <t>GB/T 12459-2017</t>
    <phoneticPr fontId="2" type="noConversion"/>
  </si>
  <si>
    <t>img1504.bmp</t>
  </si>
  <si>
    <t>img1505.bmp</t>
  </si>
  <si>
    <t>img1506.bmp</t>
  </si>
  <si>
    <t>img1507.bmp</t>
  </si>
  <si>
    <t>img1508.bmp</t>
  </si>
  <si>
    <t>img1509.bmp</t>
  </si>
  <si>
    <t>img1510.bmp</t>
  </si>
  <si>
    <t>img1511.bmp</t>
  </si>
  <si>
    <t>img1513.bmp</t>
  </si>
  <si>
    <t>img1514.bmp</t>
  </si>
  <si>
    <t>img1515.bmp</t>
  </si>
  <si>
    <t>长半径 45°弯头/3D 45°弯头</t>
    <phoneticPr fontId="2" type="noConversion"/>
  </si>
  <si>
    <t>长半径 90°弯头/短半径 90°弯头/3D 90°弯头</t>
    <phoneticPr fontId="2" type="noConversion"/>
  </si>
  <si>
    <t>长半径异90°弯头</t>
    <phoneticPr fontId="2" type="noConversion"/>
  </si>
  <si>
    <t>长半径 180°弯头/短半径 180°弯头</t>
    <phoneticPr fontId="2" type="noConversion"/>
  </si>
  <si>
    <t>等径三通</t>
  </si>
  <si>
    <t>等径四通</t>
  </si>
  <si>
    <t>异径三通</t>
  </si>
  <si>
    <t>异径四通</t>
  </si>
  <si>
    <t>管帽</t>
    <phoneticPr fontId="2" type="noConversion"/>
  </si>
  <si>
    <t>偏心异径管</t>
  </si>
  <si>
    <t>弯头</t>
    <phoneticPr fontId="2" type="noConversion"/>
  </si>
  <si>
    <t>四通</t>
    <phoneticPr fontId="2" type="noConversion"/>
  </si>
  <si>
    <t>同心异径管</t>
    <phoneticPr fontId="2" type="noConversion"/>
  </si>
  <si>
    <t>异径管</t>
  </si>
  <si>
    <t>px00</t>
  </si>
  <si>
    <t>颈部壁厚</t>
    <phoneticPr fontId="2" type="noConversion"/>
  </si>
  <si>
    <t>壁厚</t>
  </si>
  <si>
    <t>外径2</t>
    <phoneticPr fontId="2" type="noConversion"/>
  </si>
  <si>
    <t>尺寸1</t>
    <phoneticPr fontId="2" type="noConversion"/>
  </si>
  <si>
    <t>尺寸2</t>
    <phoneticPr fontId="2" type="noConversion"/>
  </si>
  <si>
    <t>pi/4*(px01-2*px02)**2*px04*pi/2</t>
    <phoneticPr fontId="2" type="noConversion"/>
  </si>
  <si>
    <t>pi*px01*px04*pi/2</t>
    <phoneticPr fontId="2" type="noConversion"/>
  </si>
  <si>
    <t>pi*px01*px04/0.38208*pi/2</t>
    <phoneticPr fontId="2" type="noConversion"/>
  </si>
  <si>
    <t>pi/4*(px01**2-(px01-2*px02)**2)*px04*pi/2</t>
    <phoneticPr fontId="2" type="noConversion"/>
  </si>
  <si>
    <t>pi/4*(px01-2*px02)**2*px04/0.38208*pi/2</t>
    <phoneticPr fontId="2" type="noConversion"/>
  </si>
  <si>
    <t>pi/4*(px01**2-(px01-2*px02)**2)*px04/0.38208*pi/2</t>
    <phoneticPr fontId="2" type="noConversion"/>
  </si>
  <si>
    <t>pi*(px01+px03)/2*px04*pi/2</t>
    <phoneticPr fontId="2" type="noConversion"/>
  </si>
  <si>
    <t>pi/4*((px01+px03)/2-2*px02)**2*px04*pi/2</t>
    <phoneticPr fontId="2" type="noConversion"/>
  </si>
  <si>
    <t>pi/4*((px01+px03)/2**2-((px01+px03)/2-2*px02)**2)*px04*pi/2</t>
    <phoneticPr fontId="2" type="noConversion"/>
  </si>
  <si>
    <t>pi/4*(px01-2*px02)**2*px04*2.5</t>
    <phoneticPr fontId="2" type="noConversion"/>
  </si>
  <si>
    <t>pi/4*(px01**2-(px01-2*px02)**2)*px04*3</t>
    <phoneticPr fontId="2" type="noConversion"/>
  </si>
  <si>
    <t>pi/4*(px01-2*px02)**2*px04*3</t>
    <phoneticPr fontId="2" type="noConversion"/>
  </si>
  <si>
    <t>pi/4*(px01**2-(px01-2*px02)**2)*px04*4</t>
    <phoneticPr fontId="2" type="noConversion"/>
  </si>
  <si>
    <t>pi*px01*(px04*2+px05-px01/2)</t>
    <phoneticPr fontId="2" type="noConversion"/>
  </si>
  <si>
    <t>pi*px01*(px04*2+2*px05-px01/2)</t>
    <phoneticPr fontId="2" type="noConversion"/>
  </si>
  <si>
    <t>pi*px01*px04*2+pi*px03*(px05-px01/2)</t>
    <phoneticPr fontId="2" type="noConversion"/>
  </si>
  <si>
    <t>pi/4*(px01-2*px02)**2*px04*2+pi/4*(px03-2*px02)**2*0.5*px05</t>
    <phoneticPr fontId="2" type="noConversion"/>
  </si>
  <si>
    <t>pi/4*(px01**2-(px01-2*px02)**2)*px04*2+pi/4*(px03**2-(px03-2*px02)**2)*px05</t>
    <phoneticPr fontId="2" type="noConversion"/>
  </si>
  <si>
    <t>pi*px01*px04*2+pi*px03*(px05*2-px01/2)</t>
    <phoneticPr fontId="2" type="noConversion"/>
  </si>
  <si>
    <t>pi/4*(px01-2*px02)**2*px04*2+pi/4*(px03-2*px02)**2*0.5*px05*2</t>
    <phoneticPr fontId="2" type="noConversion"/>
  </si>
  <si>
    <t>pi/4*(px01**2-(px01-2*px02)**2)*px04*2+pi/4*(px03**2-(px03-2*px02)**2)*px05*2</t>
    <phoneticPr fontId="2" type="noConversion"/>
  </si>
  <si>
    <t>pi*(0.345*px01**2+px01*25)</t>
    <phoneticPr fontId="2" type="noConversion"/>
  </si>
  <si>
    <t>pi*((px01-2*px02)**3/24+(px01-2*px02)**2*25/4)</t>
    <phoneticPr fontId="2" type="noConversion"/>
  </si>
  <si>
    <t>pi*(px01+px03)/2*px04</t>
    <phoneticPr fontId="2" type="noConversion"/>
  </si>
  <si>
    <t>pi/4*((px01+px03)/2-2*px02)**2*px04</t>
    <phoneticPr fontId="2" type="noConversion"/>
  </si>
  <si>
    <t>pi/4*((px01+px03)/2**2-((px01+px03)/2-2*px02)**2)*px04</t>
    <phoneticPr fontId="2" type="noConversion"/>
  </si>
  <si>
    <t>pi*(px01+px03)/2*px04*1.02</t>
    <phoneticPr fontId="2" type="noConversion"/>
  </si>
  <si>
    <t>pi/4*((px01+px03)/2-2*px02)**2*px04*1.02</t>
    <phoneticPr fontId="2" type="noConversion"/>
  </si>
  <si>
    <t>pi/4*((px01+px03)/2**2-((px01+px03)/2-2*px02)**2)*px04*1.02</t>
    <phoneticPr fontId="2" type="noConversion"/>
  </si>
  <si>
    <t>((143,400),(50,22),3,'')</t>
    <phoneticPr fontId="2" type="noConversion"/>
  </si>
  <si>
    <t>((295,358),(50,22),3,'')</t>
    <phoneticPr fontId="2" type="noConversion"/>
  </si>
  <si>
    <t>((360,170),(60,22),3,'')</t>
    <phoneticPr fontId="2" type="noConversion"/>
  </si>
  <si>
    <t>((180,13),(50,22),3,'')</t>
    <phoneticPr fontId="2" type="noConversion"/>
  </si>
  <si>
    <t>((74,33),(50,22),3,'')</t>
    <phoneticPr fontId="2" type="noConversion"/>
  </si>
  <si>
    <t>((40,89),(50,22),3,'')</t>
    <phoneticPr fontId="2" type="noConversion"/>
  </si>
  <si>
    <t>((282,430),(50,22),3,'')</t>
    <phoneticPr fontId="2" type="noConversion"/>
  </si>
  <si>
    <t>((278,256),(60,22),3,'')</t>
    <phoneticPr fontId="2" type="noConversion"/>
  </si>
  <si>
    <t>((175,20),(50,22),3,'')</t>
    <phoneticPr fontId="2" type="noConversion"/>
  </si>
  <si>
    <t>((155,348),(50,22),3,'')</t>
    <phoneticPr fontId="2" type="noConversion"/>
  </si>
  <si>
    <t>((183,313),(50,22),3,'')</t>
    <phoneticPr fontId="2" type="noConversion"/>
  </si>
  <si>
    <t>((150,360),(50,22),3,'')</t>
    <phoneticPr fontId="2" type="noConversion"/>
  </si>
  <si>
    <t>((94,312),(50,22),3,'')</t>
    <phoneticPr fontId="2" type="noConversion"/>
  </si>
  <si>
    <t>((55,230),(50,22),3,'')</t>
    <phoneticPr fontId="2" type="noConversion"/>
  </si>
  <si>
    <t>((52,219),(50,22),3,'')</t>
    <phoneticPr fontId="2" type="noConversion"/>
  </si>
  <si>
    <t>((131,205),(50,22),3,'')</t>
    <phoneticPr fontId="2" type="noConversion"/>
  </si>
  <si>
    <t>((62,203),(50,22),3,'')</t>
    <phoneticPr fontId="2" type="noConversion"/>
  </si>
  <si>
    <t>((64,40),(50,22),3,'')</t>
    <phoneticPr fontId="2" type="noConversion"/>
  </si>
  <si>
    <t>((230,300),(50,22),3,'')</t>
    <phoneticPr fontId="2" type="noConversion"/>
  </si>
  <si>
    <t>((255,305),(50,22),3,'')</t>
    <phoneticPr fontId="2" type="noConversion"/>
  </si>
  <si>
    <t>((165,265),(50,22),3,'')</t>
    <phoneticPr fontId="2" type="noConversion"/>
  </si>
  <si>
    <t>((92,140),(50,22),3,'')</t>
    <phoneticPr fontId="2" type="noConversion"/>
  </si>
  <si>
    <t>((90,125),(50,22),3,'')</t>
    <phoneticPr fontId="2" type="noConversion"/>
  </si>
  <si>
    <t>((242,313),(50,22),3,'')</t>
    <phoneticPr fontId="2" type="noConversion"/>
  </si>
  <si>
    <t>((100,110),(50,22),3,'')</t>
    <phoneticPr fontId="2" type="noConversion"/>
  </si>
  <si>
    <t>((25,89),(50,22),3,'')</t>
    <phoneticPr fontId="2" type="noConversion"/>
  </si>
  <si>
    <t>((370,143),(50,22),3,'')</t>
    <phoneticPr fontId="2" type="noConversion"/>
  </si>
  <si>
    <t>((210,100),(50,22),3,'')</t>
    <phoneticPr fontId="2" type="noConversion"/>
  </si>
  <si>
    <t>((335,200),(50,22),3,'')</t>
    <phoneticPr fontId="2" type="noConversion"/>
  </si>
  <si>
    <t>((338,230),(50,22),3,'')</t>
    <phoneticPr fontId="2" type="noConversion"/>
  </si>
  <si>
    <t>((193,250),(50,22),3,'')</t>
    <phoneticPr fontId="2" type="noConversion"/>
  </si>
  <si>
    <t>((100,200),(50,22),3,'')</t>
    <phoneticPr fontId="2" type="noConversion"/>
  </si>
  <si>
    <t>((122,225),(50,22),3,'')</t>
    <phoneticPr fontId="2" type="noConversion"/>
  </si>
  <si>
    <t>((67,200),(50,22),3,'')</t>
    <phoneticPr fontId="2" type="noConversion"/>
  </si>
  <si>
    <t>((220,347),(50,22),3,'')</t>
    <phoneticPr fontId="2" type="noConversion"/>
  </si>
  <si>
    <t>((160,304),(50,22),3,'')</t>
    <phoneticPr fontId="2" type="noConversion"/>
  </si>
  <si>
    <t>((160,330),(50,22),3,'')</t>
    <phoneticPr fontId="2" type="noConversion"/>
  </si>
  <si>
    <t>((224,144),(50,22),3,'')</t>
    <phoneticPr fontId="2" type="noConversion"/>
  </si>
  <si>
    <t>((210,292),(50,22),3,'')</t>
    <phoneticPr fontId="2" type="noConversion"/>
  </si>
  <si>
    <t>((285,256),(60,22),3,'')</t>
    <phoneticPr fontId="2" type="noConversion"/>
  </si>
  <si>
    <t>((225,65),(50,22),3,'')</t>
    <phoneticPr fontId="2" type="noConversion"/>
  </si>
  <si>
    <t>((115,115),(50,22),3,'')</t>
    <phoneticPr fontId="2" type="noConversion"/>
  </si>
  <si>
    <t>((225,52),(50,22),3,'')</t>
    <phoneticPr fontId="2" type="noConversion"/>
  </si>
  <si>
    <t>((365,188),(50,22),3,'')</t>
    <phoneticPr fontId="2" type="noConversion"/>
  </si>
  <si>
    <t>((363,170),(50,22),3,'')</t>
    <phoneticPr fontId="2" type="noConversion"/>
  </si>
  <si>
    <t>wx.CheckBox</t>
    <phoneticPr fontId="2" type="noConversion"/>
  </si>
  <si>
    <t>((300,195),(60,22),6,'0')</t>
    <phoneticPr fontId="2" type="noConversion"/>
  </si>
  <si>
    <t>((278,286),(60,22),6,'0')</t>
    <phoneticPr fontId="2" type="noConversion"/>
  </si>
  <si>
    <t>((285,286),(60,22),6,'0')</t>
    <phoneticPr fontId="2" type="noConversion"/>
  </si>
  <si>
    <t>外径1</t>
    <phoneticPr fontId="2" type="noConversion"/>
  </si>
  <si>
    <t>['HG/T 20553-2011', '', 'II系列', '200', '', '6.5mm', '', '']</t>
  </si>
  <si>
    <t>self.pipesizedata=</t>
    <phoneticPr fontId="2" type="noConversion"/>
  </si>
  <si>
    <t>['GB/T12459—2017', '长半径 90°弯头', 'Ia系列', '15', '', '', '焊接', '38']</t>
    <phoneticPr fontId="2" type="noConversion"/>
  </si>
  <si>
    <t>['04-1484', 'Ⅰ型', 'Ia系列', '600', '', '', '', '24']</t>
    <phoneticPr fontId="2" type="noConversion"/>
  </si>
  <si>
    <t>['04-70995', 'Ⅳ型', 'Ia系列', '600', '', '', '', '130']</t>
    <phoneticPr fontId="2" type="noConversion"/>
  </si>
  <si>
    <t>((268,240),(50,22),3,'')</t>
    <phoneticPr fontId="2" type="noConversion"/>
  </si>
  <si>
    <t>pi*(0.345*(px01-px02)**2+(px01-px02)*25)*px02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</si>
</sst>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1"/>
      <color theme="1"/>
      <name val="楷体"/>
      <family val="3"/>
      <charset val="134"/>
    </font>
    <font>
      <sz val="12"/>
      <color theme="1"/>
      <name val="楷体"/>
      <family val="3"/>
      <charset val="134"/>
    </font>
    <font>
      <sz val="12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4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quotePrefix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quotePrefix="1"/>
    <xf numFmtId="0" fontId="4" fillId="3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/>
    </xf>
    <xf numFmtId="0" fontId="3" fillId="0" borderId="0" xfId="0" applyFont="1" applyFill="1" applyBorder="1"/>
    <xf numFmtId="0" fontId="0" fillId="0" borderId="0" xfId="0" applyFill="1"/>
    <xf numFmtId="0" fontId="0" fillId="0" borderId="1" xfId="0" applyFill="1" applyBorder="1"/>
    <xf numFmtId="0" fontId="4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0" fillId="0" borderId="0" xfId="0" quotePrefix="1" applyFill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17"/>
  <sheetViews>
    <sheetView workbookViewId="0">
      <selection activeCell="C6" sqref="C6"/>
    </sheetView>
  </sheetViews>
  <sheetFormatPr defaultRowHeight="13.5" x14ac:dyDescent="0.15"/>
  <cols>
    <col min="1" max="1" width="3.5" customWidth="1"/>
    <col min="2" max="2" width="9.875" customWidth="1"/>
    <col min="3" max="3" width="14.75" customWidth="1"/>
    <col min="4" max="4" width="11.125" customWidth="1"/>
  </cols>
  <sheetData>
    <row r="2" spans="2:4" ht="14.25" x14ac:dyDescent="0.15">
      <c r="B2" s="2">
        <f>COUNTA(B4:B17)</f>
        <v>14</v>
      </c>
      <c r="C2" s="2">
        <f>COUNTA(B4:D4)</f>
        <v>3</v>
      </c>
      <c r="D2" s="2"/>
    </row>
    <row r="3" spans="2:4" ht="14.25" x14ac:dyDescent="0.15">
      <c r="B3" s="40" t="s">
        <v>391</v>
      </c>
      <c r="C3" s="2" t="s">
        <v>392</v>
      </c>
      <c r="D3" s="2" t="s">
        <v>405</v>
      </c>
    </row>
    <row r="4" spans="2:4" ht="14.25" x14ac:dyDescent="0.15">
      <c r="B4" s="2">
        <v>10</v>
      </c>
      <c r="C4" s="2" t="s">
        <v>393</v>
      </c>
      <c r="D4" s="2">
        <v>0</v>
      </c>
    </row>
    <row r="5" spans="2:4" ht="14.25" x14ac:dyDescent="0.15">
      <c r="B5" s="2">
        <v>11</v>
      </c>
      <c r="C5" s="2" t="s">
        <v>394</v>
      </c>
      <c r="D5" s="2">
        <v>10</v>
      </c>
    </row>
    <row r="6" spans="2:4" ht="14.25" x14ac:dyDescent="0.15">
      <c r="B6" s="2">
        <v>21</v>
      </c>
      <c r="C6" s="2" t="s">
        <v>395</v>
      </c>
      <c r="D6" s="2" t="s">
        <v>406</v>
      </c>
    </row>
    <row r="7" spans="2:4" ht="14.25" x14ac:dyDescent="0.15">
      <c r="B7" s="2">
        <v>51</v>
      </c>
      <c r="C7" s="2" t="s">
        <v>261</v>
      </c>
      <c r="D7" s="2" t="s">
        <v>406</v>
      </c>
    </row>
    <row r="8" spans="2:4" ht="14.25" x14ac:dyDescent="0.15">
      <c r="B8" s="2">
        <v>52</v>
      </c>
      <c r="C8" s="2" t="s">
        <v>396</v>
      </c>
      <c r="D8" s="2" t="s">
        <v>406</v>
      </c>
    </row>
    <row r="9" spans="2:4" ht="14.25" x14ac:dyDescent="0.15">
      <c r="B9" s="2">
        <v>53</v>
      </c>
      <c r="C9" s="2" t="s">
        <v>397</v>
      </c>
      <c r="D9" s="2" t="s">
        <v>406</v>
      </c>
    </row>
    <row r="10" spans="2:4" ht="14.25" x14ac:dyDescent="0.15">
      <c r="B10" s="2">
        <v>54</v>
      </c>
      <c r="C10" s="2" t="s">
        <v>398</v>
      </c>
      <c r="D10" s="2" t="s">
        <v>406</v>
      </c>
    </row>
    <row r="11" spans="2:4" ht="14.25" x14ac:dyDescent="0.15">
      <c r="B11" s="2">
        <v>55</v>
      </c>
      <c r="C11" s="2" t="s">
        <v>399</v>
      </c>
      <c r="D11" s="2" t="s">
        <v>406</v>
      </c>
    </row>
    <row r="12" spans="2:4" ht="14.25" x14ac:dyDescent="0.15">
      <c r="B12" s="2">
        <v>56</v>
      </c>
      <c r="C12" s="2" t="s">
        <v>400</v>
      </c>
      <c r="D12" s="2" t="s">
        <v>406</v>
      </c>
    </row>
    <row r="13" spans="2:4" ht="14.25" x14ac:dyDescent="0.15">
      <c r="B13" s="2">
        <v>57</v>
      </c>
      <c r="C13" s="2" t="s">
        <v>401</v>
      </c>
      <c r="D13" s="2" t="s">
        <v>406</v>
      </c>
    </row>
    <row r="14" spans="2:4" ht="14.25" x14ac:dyDescent="0.15">
      <c r="B14" s="2">
        <v>22</v>
      </c>
      <c r="C14" s="2" t="s">
        <v>402</v>
      </c>
      <c r="D14" s="2">
        <v>11</v>
      </c>
    </row>
    <row r="15" spans="2:4" ht="14.25" x14ac:dyDescent="0.15">
      <c r="B15" s="2">
        <v>31</v>
      </c>
      <c r="C15" s="2" t="s">
        <v>723</v>
      </c>
      <c r="D15" s="2">
        <v>22</v>
      </c>
    </row>
    <row r="16" spans="2:4" ht="14.25" x14ac:dyDescent="0.15">
      <c r="B16" s="2">
        <v>32</v>
      </c>
      <c r="C16" s="2" t="s">
        <v>403</v>
      </c>
      <c r="D16" s="2">
        <v>22</v>
      </c>
    </row>
    <row r="17" spans="2:4" ht="14.25" x14ac:dyDescent="0.15">
      <c r="B17" s="2">
        <v>23</v>
      </c>
      <c r="C17" s="2" t="s">
        <v>404</v>
      </c>
      <c r="D17" s="2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E46"/>
  <sheetViews>
    <sheetView topLeftCell="C1" zoomScaleNormal="100" workbookViewId="0">
      <selection activeCell="E16" sqref="E16"/>
    </sheetView>
  </sheetViews>
  <sheetFormatPr defaultRowHeight="13.5" x14ac:dyDescent="0.15"/>
  <cols>
    <col min="1" max="1" width="3.125" customWidth="1"/>
    <col min="2" max="2" width="6.75" customWidth="1"/>
    <col min="3" max="3" width="17.125" customWidth="1"/>
    <col min="4" max="4" width="13.5" customWidth="1"/>
    <col min="5" max="5" width="112.375" customWidth="1"/>
    <col min="6" max="6" width="13" customWidth="1"/>
    <col min="7" max="7" width="8.5" customWidth="1"/>
    <col min="8" max="9" width="16.5" customWidth="1"/>
    <col min="10" max="10" width="20.5" customWidth="1"/>
  </cols>
  <sheetData>
    <row r="2" spans="2:5" ht="14.25" x14ac:dyDescent="0.15">
      <c r="B2" s="3">
        <v>21</v>
      </c>
      <c r="C2" s="3"/>
      <c r="D2" s="3"/>
    </row>
    <row r="3" spans="2:5" ht="14.25" x14ac:dyDescent="0.15">
      <c r="B3" s="1" t="s">
        <v>0</v>
      </c>
      <c r="C3" s="3" t="s">
        <v>153</v>
      </c>
      <c r="D3" s="3" t="s">
        <v>174</v>
      </c>
      <c r="E3" s="3" t="s">
        <v>24</v>
      </c>
    </row>
    <row r="4" spans="2:5" ht="14.25" x14ac:dyDescent="0.15">
      <c r="B4" s="3" t="s">
        <v>176</v>
      </c>
      <c r="C4" s="3" t="s">
        <v>175</v>
      </c>
      <c r="D4" s="3" t="s">
        <v>177</v>
      </c>
      <c r="E4" s="3" t="s">
        <v>178</v>
      </c>
    </row>
    <row r="5" spans="2:5" ht="28.5" x14ac:dyDescent="0.15">
      <c r="B5" s="3">
        <v>101</v>
      </c>
      <c r="C5" s="3" t="s">
        <v>710</v>
      </c>
      <c r="D5" s="3" t="s">
        <v>711</v>
      </c>
      <c r="E5" s="3" t="s">
        <v>733</v>
      </c>
    </row>
    <row r="6" spans="2:5" ht="242.25" x14ac:dyDescent="0.15">
      <c r="B6" s="3">
        <v>111</v>
      </c>
      <c r="C6" s="21" t="s">
        <v>709</v>
      </c>
      <c r="D6" s="21" t="s">
        <v>693</v>
      </c>
      <c r="E6" s="24" t="s">
        <v>720</v>
      </c>
    </row>
    <row r="7" spans="2:5" ht="71.25" x14ac:dyDescent="0.15">
      <c r="B7" s="3">
        <v>211</v>
      </c>
      <c r="C7" s="3"/>
      <c r="D7" s="3"/>
      <c r="E7" s="24" t="s">
        <v>725</v>
      </c>
    </row>
    <row r="8" spans="2:5" ht="14.25" x14ac:dyDescent="0.15">
      <c r="B8" s="3">
        <v>221</v>
      </c>
      <c r="C8" s="3" t="s">
        <v>722</v>
      </c>
      <c r="D8" s="3" t="s">
        <v>721</v>
      </c>
      <c r="E8" s="57" t="s">
        <v>923</v>
      </c>
    </row>
    <row r="9" spans="2:5" ht="14.25" x14ac:dyDescent="0.15">
      <c r="B9" s="3">
        <v>231</v>
      </c>
      <c r="C9" s="3"/>
      <c r="D9" s="3"/>
    </row>
    <row r="10" spans="2:5" ht="28.5" x14ac:dyDescent="0.15">
      <c r="B10" s="3">
        <v>311</v>
      </c>
      <c r="C10" s="3"/>
      <c r="D10" s="3"/>
      <c r="E10" s="57" t="s">
        <v>924</v>
      </c>
    </row>
    <row r="11" spans="2:5" ht="28.5" x14ac:dyDescent="0.15">
      <c r="B11" s="3">
        <v>321</v>
      </c>
      <c r="C11" s="3"/>
      <c r="D11" s="3"/>
      <c r="E11" s="57" t="s">
        <v>925</v>
      </c>
    </row>
    <row r="12" spans="2:5" ht="80.099999999999994" customHeight="1" x14ac:dyDescent="0.15">
      <c r="B12" s="23">
        <v>511</v>
      </c>
      <c r="C12" s="21" t="s">
        <v>27</v>
      </c>
      <c r="D12" s="21" t="s">
        <v>179</v>
      </c>
      <c r="E12" s="24" t="s">
        <v>694</v>
      </c>
    </row>
    <row r="13" spans="2:5" ht="80.099999999999994" customHeight="1" x14ac:dyDescent="0.15">
      <c r="B13" s="23">
        <v>512</v>
      </c>
      <c r="C13" s="21" t="s">
        <v>28</v>
      </c>
      <c r="D13" s="21" t="s">
        <v>179</v>
      </c>
      <c r="E13" s="24" t="s">
        <v>695</v>
      </c>
    </row>
    <row r="14" spans="2:5" ht="80.099999999999994" customHeight="1" x14ac:dyDescent="0.15">
      <c r="B14" s="23">
        <v>513</v>
      </c>
      <c r="C14" s="21" t="s">
        <v>29</v>
      </c>
      <c r="D14" s="21" t="s">
        <v>179</v>
      </c>
      <c r="E14" s="24" t="s">
        <v>696</v>
      </c>
    </row>
    <row r="15" spans="2:5" ht="80.099999999999994" customHeight="1" x14ac:dyDescent="0.15">
      <c r="B15" s="23">
        <v>514</v>
      </c>
      <c r="C15" s="21" t="s">
        <v>30</v>
      </c>
      <c r="D15" s="21" t="s">
        <v>179</v>
      </c>
      <c r="E15" s="24" t="s">
        <v>697</v>
      </c>
    </row>
    <row r="16" spans="2:5" ht="80.099999999999994" customHeight="1" x14ac:dyDescent="0.15">
      <c r="B16" s="23">
        <v>515</v>
      </c>
      <c r="C16" s="21" t="s">
        <v>31</v>
      </c>
      <c r="D16" s="21" t="s">
        <v>179</v>
      </c>
      <c r="E16" s="24" t="s">
        <v>707</v>
      </c>
    </row>
    <row r="17" spans="2:5" ht="80.099999999999994" customHeight="1" x14ac:dyDescent="0.15">
      <c r="B17" s="23">
        <v>516</v>
      </c>
      <c r="C17" s="21" t="s">
        <v>216</v>
      </c>
      <c r="D17" s="21" t="s">
        <v>179</v>
      </c>
      <c r="E17" s="24" t="s">
        <v>698</v>
      </c>
    </row>
    <row r="18" spans="2:5" ht="80.099999999999994" customHeight="1" x14ac:dyDescent="0.15">
      <c r="B18" s="23">
        <v>517</v>
      </c>
      <c r="C18" s="21" t="s">
        <v>32</v>
      </c>
      <c r="D18" s="21" t="s">
        <v>179</v>
      </c>
      <c r="E18" s="24" t="s">
        <v>699</v>
      </c>
    </row>
    <row r="19" spans="2:5" ht="80.099999999999994" customHeight="1" x14ac:dyDescent="0.15">
      <c r="B19" s="23">
        <v>518</v>
      </c>
      <c r="C19" s="21" t="s">
        <v>33</v>
      </c>
      <c r="D19" s="21" t="s">
        <v>179</v>
      </c>
      <c r="E19" s="24" t="s">
        <v>700</v>
      </c>
    </row>
    <row r="20" spans="2:5" ht="80.099999999999994" customHeight="1" x14ac:dyDescent="0.15">
      <c r="B20" s="23">
        <v>519</v>
      </c>
      <c r="C20" s="21" t="s">
        <v>34</v>
      </c>
      <c r="D20" s="21" t="s">
        <v>179</v>
      </c>
      <c r="E20" s="24" t="s">
        <v>701</v>
      </c>
    </row>
    <row r="21" spans="2:5" ht="80.099999999999994" customHeight="1" x14ac:dyDescent="0.15">
      <c r="B21" s="23">
        <v>5110</v>
      </c>
      <c r="C21" s="21" t="s">
        <v>35</v>
      </c>
      <c r="D21" s="21" t="s">
        <v>179</v>
      </c>
      <c r="E21" s="24" t="s">
        <v>702</v>
      </c>
    </row>
    <row r="22" spans="2:5" ht="80.099999999999994" customHeight="1" x14ac:dyDescent="0.15">
      <c r="B22" s="23">
        <v>571</v>
      </c>
      <c r="C22" s="21" t="s">
        <v>2</v>
      </c>
      <c r="D22" s="22" t="s">
        <v>3</v>
      </c>
      <c r="E22" s="24" t="s">
        <v>703</v>
      </c>
    </row>
    <row r="23" spans="2:5" ht="80.099999999999994" customHeight="1" x14ac:dyDescent="0.15">
      <c r="B23" s="23">
        <v>572</v>
      </c>
      <c r="C23" s="21" t="s">
        <v>2</v>
      </c>
      <c r="D23" s="22" t="s">
        <v>3</v>
      </c>
      <c r="E23" s="24" t="s">
        <v>704</v>
      </c>
    </row>
    <row r="24" spans="2:5" ht="80.099999999999994" customHeight="1" x14ac:dyDescent="0.15">
      <c r="B24" s="23">
        <v>521</v>
      </c>
      <c r="C24" s="21" t="s">
        <v>227</v>
      </c>
      <c r="D24" s="21" t="s">
        <v>228</v>
      </c>
      <c r="E24" s="24" t="s">
        <v>705</v>
      </c>
    </row>
    <row r="25" spans="2:5" ht="80.099999999999994" customHeight="1" x14ac:dyDescent="0.15">
      <c r="B25" s="23">
        <v>541</v>
      </c>
      <c r="C25" s="21" t="s">
        <v>244</v>
      </c>
      <c r="D25" s="21" t="s">
        <v>243</v>
      </c>
      <c r="E25" s="24" t="s">
        <v>708</v>
      </c>
    </row>
    <row r="26" spans="2:5" ht="80.099999999999994" customHeight="1" x14ac:dyDescent="0.15"/>
    <row r="27" spans="2:5" ht="80.099999999999994" customHeight="1" x14ac:dyDescent="0.15"/>
    <row r="28" spans="2:5" ht="80.099999999999994" customHeight="1" x14ac:dyDescent="0.15"/>
    <row r="29" spans="2:5" ht="80.099999999999994" customHeight="1" x14ac:dyDescent="0.15"/>
    <row r="30" spans="2:5" ht="80.099999999999994" customHeight="1" x14ac:dyDescent="0.15"/>
    <row r="31" spans="2:5" ht="80.099999999999994" customHeight="1" x14ac:dyDescent="0.15"/>
    <row r="32" spans="2:5" ht="80.099999999999994" customHeight="1" x14ac:dyDescent="0.15"/>
    <row r="33" ht="80.099999999999994" customHeight="1" x14ac:dyDescent="0.15"/>
    <row r="34" ht="80.099999999999994" customHeight="1" x14ac:dyDescent="0.15"/>
    <row r="35" ht="80.099999999999994" customHeight="1" x14ac:dyDescent="0.15"/>
    <row r="36" ht="80.099999999999994" customHeight="1" x14ac:dyDescent="0.15"/>
    <row r="37" ht="80.099999999999994" customHeight="1" x14ac:dyDescent="0.15"/>
    <row r="38" ht="80.099999999999994" customHeight="1" x14ac:dyDescent="0.15"/>
    <row r="39" ht="80.099999999999994" customHeight="1" x14ac:dyDescent="0.15"/>
    <row r="40" ht="80.099999999999994" customHeight="1" x14ac:dyDescent="0.15"/>
    <row r="41" ht="80.099999999999994" customHeight="1" x14ac:dyDescent="0.15"/>
    <row r="42" ht="80.099999999999994" customHeight="1" x14ac:dyDescent="0.15"/>
    <row r="43" ht="80.099999999999994" customHeight="1" x14ac:dyDescent="0.15"/>
    <row r="44" ht="80.099999999999994" customHeight="1" x14ac:dyDescent="0.15"/>
    <row r="45" ht="80.099999999999994" customHeight="1" x14ac:dyDescent="0.15"/>
    <row r="46" ht="80.099999999999994" customHeight="1" x14ac:dyDescent="0.15"/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T87"/>
  <sheetViews>
    <sheetView topLeftCell="A10" zoomScale="70" zoomScaleNormal="70" workbookViewId="0">
      <selection activeCell="D21" sqref="D21"/>
    </sheetView>
  </sheetViews>
  <sheetFormatPr defaultColWidth="9" defaultRowHeight="13.5" x14ac:dyDescent="0.15"/>
  <cols>
    <col min="1" max="1" width="3" style="47" customWidth="1"/>
    <col min="2" max="2" width="4.875" style="47" customWidth="1"/>
    <col min="3" max="3" width="10.25" style="47" customWidth="1"/>
    <col min="4" max="4" width="17.25" style="47" customWidth="1"/>
    <col min="5" max="5" width="17.625" style="47" customWidth="1"/>
    <col min="6" max="6" width="9" style="47"/>
    <col min="7" max="7" width="4.875" style="47" customWidth="1"/>
    <col min="8" max="8" width="24.5" style="43" customWidth="1"/>
    <col min="9" max="9" width="4.75" style="43" customWidth="1"/>
    <col min="10" max="19" width="15.625" style="43" customWidth="1"/>
    <col min="20" max="16384" width="9" style="47"/>
  </cols>
  <sheetData>
    <row r="2" spans="2:20" ht="29.25" customHeight="1" x14ac:dyDescent="0.25">
      <c r="B2" s="45">
        <v>7</v>
      </c>
      <c r="C2" s="45">
        <v>5</v>
      </c>
      <c r="D2" s="46"/>
      <c r="E2" s="46"/>
      <c r="G2" s="48"/>
      <c r="H2" s="49" t="s">
        <v>511</v>
      </c>
      <c r="I2" s="49" t="s">
        <v>498</v>
      </c>
      <c r="J2" s="19" t="s">
        <v>462</v>
      </c>
      <c r="K2" s="19" t="s">
        <v>464</v>
      </c>
      <c r="L2" s="50" t="s">
        <v>497</v>
      </c>
      <c r="M2" s="84" t="s">
        <v>465</v>
      </c>
      <c r="N2" s="85"/>
      <c r="O2" s="42" t="s">
        <v>470</v>
      </c>
      <c r="P2" s="42" t="s">
        <v>433</v>
      </c>
      <c r="Q2" s="42" t="s">
        <v>483</v>
      </c>
      <c r="R2" s="83" t="s">
        <v>459</v>
      </c>
      <c r="S2" s="83"/>
    </row>
    <row r="3" spans="2:20" ht="30" customHeight="1" x14ac:dyDescent="0.15">
      <c r="B3" s="51" t="s">
        <v>0</v>
      </c>
      <c r="C3" s="52" t="s">
        <v>1</v>
      </c>
      <c r="D3" s="25" t="s">
        <v>379</v>
      </c>
      <c r="E3" s="25" t="s">
        <v>374</v>
      </c>
      <c r="F3" s="25" t="s">
        <v>499</v>
      </c>
      <c r="G3" s="41"/>
      <c r="H3" s="41"/>
      <c r="I3" s="41"/>
      <c r="J3" s="41"/>
      <c r="K3" s="41"/>
      <c r="L3" s="41"/>
      <c r="M3" s="41" t="s">
        <v>434</v>
      </c>
      <c r="N3" s="41" t="s">
        <v>435</v>
      </c>
      <c r="O3" s="41"/>
      <c r="P3" s="41"/>
      <c r="Q3" s="41"/>
      <c r="R3" s="41" t="s">
        <v>460</v>
      </c>
      <c r="S3" s="41" t="s">
        <v>461</v>
      </c>
    </row>
    <row r="4" spans="2:20" ht="30" customHeight="1" x14ac:dyDescent="0.15">
      <c r="B4" s="51">
        <v>1</v>
      </c>
      <c r="C4" s="53" t="s">
        <v>375</v>
      </c>
      <c r="D4" s="53" t="s">
        <v>380</v>
      </c>
      <c r="E4" s="53" t="s">
        <v>381</v>
      </c>
      <c r="F4" s="25" t="s">
        <v>500</v>
      </c>
      <c r="G4" s="41" t="s">
        <v>466</v>
      </c>
      <c r="H4" s="41"/>
      <c r="I4" s="19">
        <v>0</v>
      </c>
      <c r="J4" s="19">
        <v>1</v>
      </c>
      <c r="K4" s="19">
        <v>2</v>
      </c>
      <c r="L4" s="19">
        <v>3</v>
      </c>
      <c r="M4" s="19">
        <v>4</v>
      </c>
      <c r="N4" s="19">
        <v>5</v>
      </c>
      <c r="O4" s="19">
        <v>6</v>
      </c>
      <c r="P4" s="19">
        <v>7</v>
      </c>
      <c r="Q4" s="19">
        <v>8</v>
      </c>
      <c r="R4" s="19">
        <v>9</v>
      </c>
      <c r="S4" s="19">
        <v>10</v>
      </c>
    </row>
    <row r="5" spans="2:20" ht="15" x14ac:dyDescent="0.15">
      <c r="B5" s="51">
        <v>2</v>
      </c>
      <c r="C5" s="53" t="s">
        <v>495</v>
      </c>
      <c r="D5" s="53" t="s">
        <v>385</v>
      </c>
      <c r="E5" s="53" t="s">
        <v>386</v>
      </c>
      <c r="F5" s="25" t="s">
        <v>501</v>
      </c>
      <c r="G5" s="41">
        <v>0</v>
      </c>
      <c r="H5" s="41" t="s">
        <v>496</v>
      </c>
      <c r="I5" s="44"/>
      <c r="J5" s="19"/>
      <c r="K5" s="19"/>
      <c r="L5" s="19"/>
      <c r="M5" s="19"/>
      <c r="N5" s="19"/>
      <c r="O5" s="19"/>
      <c r="P5" s="19"/>
      <c r="Q5" s="19"/>
      <c r="R5" s="19"/>
      <c r="S5" s="19"/>
      <c r="T5" s="47" t="s">
        <v>554</v>
      </c>
    </row>
    <row r="6" spans="2:20" ht="126.75" customHeight="1" x14ac:dyDescent="0.15">
      <c r="B6" s="51">
        <v>3</v>
      </c>
      <c r="C6" s="53" t="s">
        <v>373</v>
      </c>
      <c r="D6" s="53" t="s">
        <v>387</v>
      </c>
      <c r="E6" s="53" t="s">
        <v>388</v>
      </c>
      <c r="F6" s="25" t="s">
        <v>503</v>
      </c>
      <c r="G6" s="41">
        <v>1</v>
      </c>
      <c r="H6" s="41" t="s">
        <v>410</v>
      </c>
      <c r="I6" s="44"/>
      <c r="J6" s="19"/>
      <c r="K6" s="19" t="s">
        <v>553</v>
      </c>
      <c r="L6" s="19" t="s">
        <v>553</v>
      </c>
      <c r="M6" s="19" t="s">
        <v>587</v>
      </c>
      <c r="N6" s="19"/>
      <c r="O6" s="19" t="s">
        <v>553</v>
      </c>
      <c r="P6" s="19" t="s">
        <v>553</v>
      </c>
      <c r="Q6" s="19"/>
      <c r="R6" s="19" t="s">
        <v>828</v>
      </c>
      <c r="S6" s="19"/>
      <c r="T6" s="47" t="s">
        <v>554</v>
      </c>
    </row>
    <row r="7" spans="2:20" ht="162" x14ac:dyDescent="0.15">
      <c r="B7" s="51">
        <v>4</v>
      </c>
      <c r="C7" s="53" t="s">
        <v>376</v>
      </c>
      <c r="D7" s="53" t="s">
        <v>389</v>
      </c>
      <c r="E7" s="53" t="s">
        <v>390</v>
      </c>
      <c r="F7" s="25" t="s">
        <v>502</v>
      </c>
      <c r="G7" s="41">
        <v>2</v>
      </c>
      <c r="H7" s="41" t="s">
        <v>484</v>
      </c>
      <c r="I7" s="44"/>
      <c r="J7" s="19"/>
      <c r="K7" s="19"/>
      <c r="L7" s="19"/>
      <c r="M7" s="19"/>
      <c r="N7" s="19"/>
      <c r="O7" s="19"/>
      <c r="P7" s="19"/>
      <c r="Q7" s="58" t="s">
        <v>956</v>
      </c>
      <c r="R7" s="19"/>
      <c r="S7" s="19"/>
      <c r="T7" s="47" t="s">
        <v>554</v>
      </c>
    </row>
    <row r="8" spans="2:20" ht="54" x14ac:dyDescent="0.15">
      <c r="B8" s="51">
        <v>5</v>
      </c>
      <c r="C8" s="53" t="s">
        <v>377</v>
      </c>
      <c r="D8" s="53" t="s">
        <v>382</v>
      </c>
      <c r="E8" s="53" t="s">
        <v>381</v>
      </c>
      <c r="F8" s="25" t="s">
        <v>817</v>
      </c>
      <c r="G8" s="41">
        <v>3</v>
      </c>
      <c r="H8" s="41" t="s">
        <v>411</v>
      </c>
      <c r="I8" s="44"/>
      <c r="J8" s="19" t="s">
        <v>533</v>
      </c>
      <c r="K8" s="19" t="s">
        <v>555</v>
      </c>
      <c r="L8" s="19" t="s">
        <v>555</v>
      </c>
      <c r="M8" s="19" t="s">
        <v>588</v>
      </c>
      <c r="N8" s="19"/>
      <c r="O8" s="58" t="s">
        <v>827</v>
      </c>
      <c r="P8" s="19" t="s">
        <v>555</v>
      </c>
      <c r="Q8" s="58" t="s">
        <v>555</v>
      </c>
      <c r="R8" s="58" t="s">
        <v>588</v>
      </c>
      <c r="S8" s="58"/>
      <c r="T8" s="47" t="s">
        <v>554</v>
      </c>
    </row>
    <row r="9" spans="2:20" ht="27" x14ac:dyDescent="0.15">
      <c r="B9" s="51">
        <v>6</v>
      </c>
      <c r="C9" s="53" t="s">
        <v>378</v>
      </c>
      <c r="D9" s="53" t="s">
        <v>383</v>
      </c>
      <c r="E9" s="53" t="s">
        <v>381</v>
      </c>
      <c r="F9" s="25" t="s">
        <v>818</v>
      </c>
      <c r="G9" s="41">
        <v>4</v>
      </c>
      <c r="H9" s="41" t="s">
        <v>412</v>
      </c>
      <c r="I9" s="44"/>
      <c r="J9" s="19" t="s">
        <v>535</v>
      </c>
      <c r="K9" s="19" t="s">
        <v>534</v>
      </c>
      <c r="L9" s="19" t="s">
        <v>534</v>
      </c>
      <c r="M9" s="19" t="s">
        <v>536</v>
      </c>
      <c r="N9" s="19" t="s">
        <v>591</v>
      </c>
      <c r="O9" s="58" t="s">
        <v>534</v>
      </c>
      <c r="P9" s="19" t="s">
        <v>534</v>
      </c>
      <c r="Q9" s="58" t="s">
        <v>534</v>
      </c>
      <c r="R9" s="58" t="s">
        <v>536</v>
      </c>
      <c r="S9" s="58" t="s">
        <v>591</v>
      </c>
      <c r="T9" s="47" t="s">
        <v>554</v>
      </c>
    </row>
    <row r="10" spans="2:20" ht="27" x14ac:dyDescent="0.15">
      <c r="B10" s="51">
        <v>7</v>
      </c>
      <c r="C10" s="53" t="s">
        <v>408</v>
      </c>
      <c r="D10" s="53" t="s">
        <v>409</v>
      </c>
      <c r="E10" s="53" t="s">
        <v>381</v>
      </c>
      <c r="F10" s="25" t="s">
        <v>819</v>
      </c>
      <c r="G10" s="41">
        <v>5</v>
      </c>
      <c r="H10" s="41" t="s">
        <v>413</v>
      </c>
      <c r="I10" s="44"/>
      <c r="J10" s="19" t="s">
        <v>534</v>
      </c>
      <c r="K10" s="19" t="s">
        <v>536</v>
      </c>
      <c r="L10" s="19" t="s">
        <v>536</v>
      </c>
      <c r="M10" s="19" t="s">
        <v>537</v>
      </c>
      <c r="N10" s="19" t="s">
        <v>592</v>
      </c>
      <c r="O10" s="58" t="s">
        <v>536</v>
      </c>
      <c r="P10" s="19" t="s">
        <v>536</v>
      </c>
      <c r="Q10" s="58" t="s">
        <v>536</v>
      </c>
      <c r="R10" s="58" t="s">
        <v>537</v>
      </c>
      <c r="S10" s="58" t="s">
        <v>592</v>
      </c>
      <c r="T10" s="47" t="s">
        <v>554</v>
      </c>
    </row>
    <row r="11" spans="2:20" ht="27" x14ac:dyDescent="0.15">
      <c r="B11" s="51">
        <v>8</v>
      </c>
      <c r="C11" s="53" t="s">
        <v>407</v>
      </c>
      <c r="D11" s="53" t="s">
        <v>384</v>
      </c>
      <c r="E11" s="53" t="s">
        <v>381</v>
      </c>
      <c r="F11" s="25" t="s">
        <v>820</v>
      </c>
      <c r="G11" s="41">
        <v>6</v>
      </c>
      <c r="H11" s="41" t="s">
        <v>414</v>
      </c>
      <c r="I11" s="44"/>
      <c r="J11" s="19"/>
      <c r="K11" s="19" t="s">
        <v>537</v>
      </c>
      <c r="L11" s="19" t="s">
        <v>537</v>
      </c>
      <c r="M11" s="19" t="s">
        <v>538</v>
      </c>
      <c r="N11" s="19" t="s">
        <v>593</v>
      </c>
      <c r="O11" s="58" t="s">
        <v>537</v>
      </c>
      <c r="P11" s="19" t="s">
        <v>537</v>
      </c>
      <c r="Q11" s="19"/>
      <c r="R11" s="58" t="s">
        <v>538</v>
      </c>
      <c r="S11" s="58" t="s">
        <v>593</v>
      </c>
      <c r="T11" s="47" t="s">
        <v>554</v>
      </c>
    </row>
    <row r="12" spans="2:20" ht="27" x14ac:dyDescent="0.15">
      <c r="G12" s="41">
        <v>7</v>
      </c>
      <c r="H12" s="41" t="s">
        <v>415</v>
      </c>
      <c r="I12" s="44"/>
      <c r="J12" s="19"/>
      <c r="K12" s="19" t="s">
        <v>538</v>
      </c>
      <c r="L12" s="19" t="s">
        <v>538</v>
      </c>
      <c r="M12" s="19" t="s">
        <v>556</v>
      </c>
      <c r="N12" s="19" t="s">
        <v>594</v>
      </c>
      <c r="O12" s="58" t="s">
        <v>538</v>
      </c>
      <c r="P12" s="19" t="s">
        <v>538</v>
      </c>
      <c r="Q12" s="19"/>
      <c r="R12" s="58" t="s">
        <v>556</v>
      </c>
      <c r="S12" s="58" t="s">
        <v>594</v>
      </c>
      <c r="T12" s="47" t="s">
        <v>554</v>
      </c>
    </row>
    <row r="13" spans="2:20" ht="27" x14ac:dyDescent="0.15">
      <c r="G13" s="41">
        <v>8</v>
      </c>
      <c r="H13" s="41" t="s">
        <v>416</v>
      </c>
      <c r="I13" s="44"/>
      <c r="J13" s="19" t="s">
        <v>536</v>
      </c>
      <c r="K13" s="19" t="s">
        <v>556</v>
      </c>
      <c r="L13" s="19" t="s">
        <v>556</v>
      </c>
      <c r="M13" s="19" t="s">
        <v>539</v>
      </c>
      <c r="N13" s="19" t="s">
        <v>595</v>
      </c>
      <c r="O13" s="58" t="s">
        <v>556</v>
      </c>
      <c r="P13" s="19" t="s">
        <v>556</v>
      </c>
      <c r="Q13" s="58" t="s">
        <v>537</v>
      </c>
      <c r="R13" s="58" t="s">
        <v>539</v>
      </c>
      <c r="S13" s="58" t="s">
        <v>595</v>
      </c>
      <c r="T13" s="47" t="s">
        <v>554</v>
      </c>
    </row>
    <row r="14" spans="2:20" ht="27" x14ac:dyDescent="0.15">
      <c r="C14" s="53" t="s">
        <v>504</v>
      </c>
      <c r="D14" s="53" t="s">
        <v>505</v>
      </c>
      <c r="G14" s="41">
        <v>9</v>
      </c>
      <c r="H14" s="41" t="s">
        <v>417</v>
      </c>
      <c r="I14" s="44"/>
      <c r="J14" s="19" t="s">
        <v>537</v>
      </c>
      <c r="K14" s="19" t="s">
        <v>539</v>
      </c>
      <c r="L14" s="19" t="s">
        <v>539</v>
      </c>
      <c r="M14" s="19" t="s">
        <v>589</v>
      </c>
      <c r="N14" s="19" t="s">
        <v>596</v>
      </c>
      <c r="O14" s="58" t="s">
        <v>539</v>
      </c>
      <c r="P14" s="19" t="s">
        <v>539</v>
      </c>
      <c r="Q14" s="58" t="s">
        <v>829</v>
      </c>
      <c r="R14" s="58" t="s">
        <v>540</v>
      </c>
      <c r="S14" s="58" t="s">
        <v>596</v>
      </c>
      <c r="T14" s="47" t="s">
        <v>554</v>
      </c>
    </row>
    <row r="15" spans="2:20" ht="27" x14ac:dyDescent="0.15">
      <c r="C15" s="41">
        <v>1</v>
      </c>
      <c r="D15" s="41" t="s">
        <v>506</v>
      </c>
      <c r="G15" s="41">
        <v>10</v>
      </c>
      <c r="H15" s="41" t="s">
        <v>467</v>
      </c>
      <c r="I15" s="44"/>
      <c r="J15" s="19"/>
      <c r="K15" s="19"/>
      <c r="L15" s="19"/>
      <c r="M15" s="19" t="s">
        <v>590</v>
      </c>
      <c r="N15" s="19" t="s">
        <v>597</v>
      </c>
      <c r="O15" s="19"/>
      <c r="P15" s="19"/>
      <c r="Q15" s="19"/>
      <c r="R15" s="19"/>
      <c r="S15" s="19"/>
      <c r="T15" s="47" t="s">
        <v>554</v>
      </c>
    </row>
    <row r="16" spans="2:20" ht="27" x14ac:dyDescent="0.15">
      <c r="C16" s="41">
        <v>2</v>
      </c>
      <c r="D16" s="41" t="s">
        <v>508</v>
      </c>
      <c r="G16" s="41">
        <v>11</v>
      </c>
      <c r="H16" s="41" t="s">
        <v>418</v>
      </c>
      <c r="I16" s="44"/>
      <c r="J16" s="19" t="s">
        <v>538</v>
      </c>
      <c r="K16" s="19" t="s">
        <v>540</v>
      </c>
      <c r="L16" s="19" t="s">
        <v>540</v>
      </c>
      <c r="M16" s="19" t="s">
        <v>598</v>
      </c>
      <c r="N16" s="19" t="s">
        <v>601</v>
      </c>
      <c r="O16" s="58" t="s">
        <v>540</v>
      </c>
      <c r="P16" s="19" t="s">
        <v>540</v>
      </c>
      <c r="Q16" s="58" t="s">
        <v>556</v>
      </c>
      <c r="R16" s="58" t="s">
        <v>590</v>
      </c>
      <c r="S16" s="58" t="s">
        <v>597</v>
      </c>
      <c r="T16" s="47" t="s">
        <v>554</v>
      </c>
    </row>
    <row r="17" spans="3:20" ht="108" x14ac:dyDescent="0.15">
      <c r="C17" s="41">
        <v>3</v>
      </c>
      <c r="D17" s="41" t="s">
        <v>507</v>
      </c>
      <c r="G17" s="41">
        <v>12</v>
      </c>
      <c r="H17" s="41" t="s">
        <v>419</v>
      </c>
      <c r="I17" s="44"/>
      <c r="J17" s="19" t="s">
        <v>732</v>
      </c>
      <c r="K17" s="19" t="s">
        <v>557</v>
      </c>
      <c r="L17" s="19" t="s">
        <v>557</v>
      </c>
      <c r="M17" s="19" t="s">
        <v>599</v>
      </c>
      <c r="N17" s="19" t="s">
        <v>602</v>
      </c>
      <c r="O17" s="58" t="s">
        <v>557</v>
      </c>
      <c r="P17" s="19" t="s">
        <v>557</v>
      </c>
      <c r="Q17" s="58" t="s">
        <v>816</v>
      </c>
      <c r="R17" s="58" t="s">
        <v>762</v>
      </c>
      <c r="S17" s="58" t="s">
        <v>763</v>
      </c>
      <c r="T17" s="47" t="s">
        <v>554</v>
      </c>
    </row>
    <row r="18" spans="3:20" ht="27" x14ac:dyDescent="0.15">
      <c r="C18" s="41">
        <v>4</v>
      </c>
      <c r="D18" s="41" t="s">
        <v>509</v>
      </c>
      <c r="G18" s="41">
        <v>13</v>
      </c>
      <c r="H18" s="41" t="s">
        <v>420</v>
      </c>
      <c r="I18" s="44"/>
      <c r="J18" s="19" t="s">
        <v>539</v>
      </c>
      <c r="K18" s="19" t="s">
        <v>558</v>
      </c>
      <c r="L18" s="19" t="s">
        <v>558</v>
      </c>
      <c r="M18" s="19" t="s">
        <v>600</v>
      </c>
      <c r="N18" s="19" t="s">
        <v>603</v>
      </c>
      <c r="O18" s="58" t="s">
        <v>558</v>
      </c>
      <c r="P18" s="19" t="s">
        <v>558</v>
      </c>
      <c r="Q18" s="58" t="s">
        <v>739</v>
      </c>
      <c r="R18" s="58" t="s">
        <v>541</v>
      </c>
      <c r="S18" s="58" t="s">
        <v>765</v>
      </c>
      <c r="T18" s="47" t="s">
        <v>554</v>
      </c>
    </row>
    <row r="19" spans="3:20" ht="27" x14ac:dyDescent="0.15">
      <c r="C19" s="41">
        <v>5</v>
      </c>
      <c r="D19" s="41" t="s">
        <v>510</v>
      </c>
      <c r="G19" s="41">
        <v>14</v>
      </c>
      <c r="H19" s="41" t="s">
        <v>485</v>
      </c>
      <c r="I19" s="44"/>
      <c r="J19" s="19"/>
      <c r="K19" s="19"/>
      <c r="L19" s="19"/>
      <c r="M19" s="19"/>
      <c r="N19" s="19"/>
      <c r="O19" s="19"/>
      <c r="P19" s="19"/>
      <c r="Q19" s="58" t="s">
        <v>740</v>
      </c>
      <c r="R19" s="19"/>
      <c r="S19" s="19"/>
      <c r="T19" s="47" t="s">
        <v>554</v>
      </c>
    </row>
    <row r="20" spans="3:20" ht="27" x14ac:dyDescent="0.15">
      <c r="C20" s="41">
        <v>6</v>
      </c>
      <c r="D20" s="48" t="s">
        <v>1260</v>
      </c>
      <c r="G20" s="41">
        <v>15</v>
      </c>
      <c r="H20" s="41" t="s">
        <v>421</v>
      </c>
      <c r="I20" s="44"/>
      <c r="J20" s="19" t="s">
        <v>540</v>
      </c>
      <c r="K20" s="19" t="s">
        <v>541</v>
      </c>
      <c r="L20" s="19" t="s">
        <v>541</v>
      </c>
      <c r="M20" s="19" t="s">
        <v>604</v>
      </c>
      <c r="N20" s="19" t="s">
        <v>607</v>
      </c>
      <c r="O20" s="58" t="s">
        <v>541</v>
      </c>
      <c r="P20" s="19" t="s">
        <v>541</v>
      </c>
      <c r="Q20" s="58" t="s">
        <v>741</v>
      </c>
      <c r="R20" s="58" t="s">
        <v>764</v>
      </c>
      <c r="S20" s="58" t="s">
        <v>766</v>
      </c>
      <c r="T20" s="47" t="s">
        <v>554</v>
      </c>
    </row>
    <row r="21" spans="3:20" ht="40.5" x14ac:dyDescent="0.15">
      <c r="C21" s="41">
        <v>7</v>
      </c>
      <c r="D21" s="48"/>
      <c r="G21" s="41">
        <v>16</v>
      </c>
      <c r="H21" s="41" t="s">
        <v>422</v>
      </c>
      <c r="I21" s="44"/>
      <c r="J21" s="19" t="s">
        <v>724</v>
      </c>
      <c r="K21" s="19" t="s">
        <v>559</v>
      </c>
      <c r="L21" s="19" t="s">
        <v>559</v>
      </c>
      <c r="M21" s="19" t="s">
        <v>605</v>
      </c>
      <c r="N21" s="19" t="s">
        <v>608</v>
      </c>
      <c r="O21" s="58" t="s">
        <v>559</v>
      </c>
      <c r="P21" s="19" t="s">
        <v>559</v>
      </c>
      <c r="Q21" s="19"/>
      <c r="R21" s="58" t="s">
        <v>767</v>
      </c>
      <c r="S21" s="58" t="s">
        <v>768</v>
      </c>
      <c r="T21" s="47" t="s">
        <v>554</v>
      </c>
    </row>
    <row r="22" spans="3:20" ht="67.5" x14ac:dyDescent="0.15">
      <c r="C22" s="41">
        <v>8</v>
      </c>
      <c r="D22" s="41"/>
      <c r="G22" s="41">
        <v>17</v>
      </c>
      <c r="H22" s="41" t="s">
        <v>423</v>
      </c>
      <c r="I22" s="44"/>
      <c r="J22" s="19" t="s">
        <v>512</v>
      </c>
      <c r="K22" s="19" t="s">
        <v>560</v>
      </c>
      <c r="L22" s="19" t="s">
        <v>560</v>
      </c>
      <c r="M22" s="19" t="s">
        <v>606</v>
      </c>
      <c r="N22" s="19" t="s">
        <v>609</v>
      </c>
      <c r="O22" s="58" t="s">
        <v>560</v>
      </c>
      <c r="P22" s="19" t="s">
        <v>560</v>
      </c>
      <c r="Q22" s="19"/>
      <c r="R22" s="58" t="s">
        <v>769</v>
      </c>
      <c r="S22" s="58" t="s">
        <v>770</v>
      </c>
      <c r="T22" s="47" t="s">
        <v>554</v>
      </c>
    </row>
    <row r="23" spans="3:20" ht="54" x14ac:dyDescent="0.15">
      <c r="G23" s="41">
        <v>18</v>
      </c>
      <c r="H23" s="41" t="s">
        <v>486</v>
      </c>
      <c r="I23" s="44"/>
      <c r="J23" s="19"/>
      <c r="K23" s="19"/>
      <c r="L23" s="19"/>
      <c r="M23" s="19"/>
      <c r="N23" s="19"/>
      <c r="O23" s="19"/>
      <c r="P23" s="19"/>
      <c r="Q23" s="58" t="s">
        <v>742</v>
      </c>
      <c r="R23" s="19"/>
      <c r="S23" s="19"/>
      <c r="T23" s="47" t="s">
        <v>554</v>
      </c>
    </row>
    <row r="24" spans="3:20" ht="54" x14ac:dyDescent="0.15">
      <c r="G24" s="41">
        <v>19</v>
      </c>
      <c r="H24" s="41" t="s">
        <v>487</v>
      </c>
      <c r="I24" s="44"/>
      <c r="J24" s="19"/>
      <c r="K24" s="19"/>
      <c r="L24" s="19"/>
      <c r="M24" s="19"/>
      <c r="N24" s="19"/>
      <c r="O24" s="19"/>
      <c r="P24" s="19"/>
      <c r="Q24" s="58" t="s">
        <v>743</v>
      </c>
      <c r="R24" s="19"/>
      <c r="S24" s="19"/>
      <c r="T24" s="47" t="s">
        <v>554</v>
      </c>
    </row>
    <row r="25" spans="3:20" ht="40.5" x14ac:dyDescent="0.15">
      <c r="G25" s="41">
        <v>20</v>
      </c>
      <c r="H25" s="41" t="s">
        <v>468</v>
      </c>
      <c r="I25" s="44"/>
      <c r="J25" s="19"/>
      <c r="K25" s="19"/>
      <c r="L25" s="19"/>
      <c r="M25" s="19" t="s">
        <v>610</v>
      </c>
      <c r="N25" s="19" t="s">
        <v>690</v>
      </c>
      <c r="O25" s="19"/>
      <c r="P25" s="19"/>
      <c r="Q25" s="19"/>
      <c r="R25" s="19"/>
      <c r="S25" s="19"/>
      <c r="T25" s="47" t="s">
        <v>554</v>
      </c>
    </row>
    <row r="26" spans="3:20" ht="27" x14ac:dyDescent="0.15">
      <c r="G26" s="41">
        <v>21</v>
      </c>
      <c r="H26" s="41" t="s">
        <v>424</v>
      </c>
      <c r="I26" s="44"/>
      <c r="J26" s="19" t="s">
        <v>541</v>
      </c>
      <c r="K26" s="19" t="s">
        <v>561</v>
      </c>
      <c r="L26" s="19" t="s">
        <v>561</v>
      </c>
      <c r="M26" s="19" t="s">
        <v>689</v>
      </c>
      <c r="N26" s="19" t="s">
        <v>692</v>
      </c>
      <c r="O26" s="58" t="s">
        <v>561</v>
      </c>
      <c r="P26" s="19" t="s">
        <v>561</v>
      </c>
      <c r="Q26" s="19"/>
      <c r="R26" s="58" t="s">
        <v>746</v>
      </c>
      <c r="S26" s="58" t="s">
        <v>771</v>
      </c>
      <c r="T26" s="47" t="s">
        <v>554</v>
      </c>
    </row>
    <row r="27" spans="3:20" ht="27" x14ac:dyDescent="0.15">
      <c r="G27" s="41">
        <v>22</v>
      </c>
      <c r="H27" s="41" t="s">
        <v>488</v>
      </c>
      <c r="I27" s="44"/>
      <c r="J27" s="19"/>
      <c r="K27" s="19"/>
      <c r="L27" s="19"/>
      <c r="M27" s="19"/>
      <c r="N27" s="19"/>
      <c r="O27" s="19"/>
      <c r="P27" s="19"/>
      <c r="Q27" s="58" t="s">
        <v>744</v>
      </c>
      <c r="R27" s="19"/>
      <c r="S27" s="19"/>
      <c r="T27" s="47" t="s">
        <v>554</v>
      </c>
    </row>
    <row r="28" spans="3:20" ht="27" x14ac:dyDescent="0.15">
      <c r="G28" s="41">
        <v>23</v>
      </c>
      <c r="H28" s="41" t="s">
        <v>489</v>
      </c>
      <c r="I28" s="44"/>
      <c r="J28" s="19"/>
      <c r="K28" s="19"/>
      <c r="L28" s="19"/>
      <c r="M28" s="19"/>
      <c r="N28" s="19"/>
      <c r="O28" s="19"/>
      <c r="P28" s="19"/>
      <c r="Q28" s="58" t="s">
        <v>745</v>
      </c>
      <c r="R28" s="19"/>
      <c r="S28" s="19"/>
      <c r="T28" s="47" t="s">
        <v>554</v>
      </c>
    </row>
    <row r="29" spans="3:20" ht="27" x14ac:dyDescent="0.15">
      <c r="G29" s="41">
        <v>24</v>
      </c>
      <c r="H29" s="41" t="s">
        <v>490</v>
      </c>
      <c r="I29" s="44"/>
      <c r="J29" s="19"/>
      <c r="K29" s="19"/>
      <c r="L29" s="19"/>
      <c r="M29" s="19"/>
      <c r="N29" s="19"/>
      <c r="O29" s="19"/>
      <c r="P29" s="19"/>
      <c r="Q29" s="58" t="s">
        <v>746</v>
      </c>
      <c r="R29" s="19"/>
      <c r="S29" s="19"/>
      <c r="T29" s="47" t="s">
        <v>554</v>
      </c>
    </row>
    <row r="30" spans="3:20" ht="27" x14ac:dyDescent="0.15">
      <c r="G30" s="41">
        <v>25</v>
      </c>
      <c r="H30" s="41" t="s">
        <v>491</v>
      </c>
      <c r="I30" s="44"/>
      <c r="J30" s="19"/>
      <c r="K30" s="19"/>
      <c r="L30" s="19"/>
      <c r="M30" s="19"/>
      <c r="N30" s="19"/>
      <c r="O30" s="19"/>
      <c r="P30" s="19"/>
      <c r="Q30" s="58" t="s">
        <v>747</v>
      </c>
      <c r="R30" s="19"/>
      <c r="S30" s="19"/>
      <c r="T30" s="47" t="s">
        <v>554</v>
      </c>
    </row>
    <row r="31" spans="3:20" ht="54" x14ac:dyDescent="0.15">
      <c r="G31" s="41">
        <v>26</v>
      </c>
      <c r="H31" s="41" t="s">
        <v>425</v>
      </c>
      <c r="I31" s="44"/>
      <c r="J31" s="19" t="s">
        <v>513</v>
      </c>
      <c r="K31" s="19" t="s">
        <v>562</v>
      </c>
      <c r="L31" s="19" t="s">
        <v>562</v>
      </c>
      <c r="M31" s="19"/>
      <c r="N31" s="19"/>
      <c r="O31" s="58" t="s">
        <v>562</v>
      </c>
      <c r="P31" s="19"/>
      <c r="Q31" s="19"/>
      <c r="R31" s="58" t="s">
        <v>772</v>
      </c>
      <c r="S31" s="58" t="s">
        <v>773</v>
      </c>
      <c r="T31" s="47" t="s">
        <v>554</v>
      </c>
    </row>
    <row r="32" spans="3:20" ht="256.5" x14ac:dyDescent="0.15">
      <c r="G32" s="41">
        <v>27</v>
      </c>
      <c r="H32" s="41" t="s">
        <v>713</v>
      </c>
      <c r="I32" s="44"/>
      <c r="J32" s="19"/>
      <c r="K32" s="19"/>
      <c r="L32" s="19"/>
      <c r="M32" s="19" t="s">
        <v>706</v>
      </c>
      <c r="N32" s="19"/>
      <c r="O32" s="19"/>
      <c r="P32" s="19"/>
      <c r="Q32" s="19"/>
      <c r="R32" s="19"/>
      <c r="S32" s="19"/>
    </row>
    <row r="33" spans="7:20" ht="67.5" x14ac:dyDescent="0.15">
      <c r="G33" s="41">
        <v>28</v>
      </c>
      <c r="H33" s="41" t="s">
        <v>714</v>
      </c>
      <c r="I33" s="44"/>
      <c r="J33" s="19"/>
      <c r="K33" s="19"/>
      <c r="L33" s="19"/>
      <c r="M33" s="19" t="s">
        <v>712</v>
      </c>
      <c r="N33" s="19"/>
      <c r="O33" s="19"/>
      <c r="P33" s="19"/>
      <c r="Q33" s="19"/>
      <c r="R33" s="19"/>
      <c r="S33" s="19"/>
    </row>
    <row r="34" spans="7:20" ht="67.5" x14ac:dyDescent="0.15">
      <c r="G34" s="41">
        <v>29</v>
      </c>
      <c r="H34" s="41" t="s">
        <v>715</v>
      </c>
      <c r="I34" s="44"/>
      <c r="J34" s="19"/>
      <c r="K34" s="19"/>
      <c r="L34" s="19"/>
      <c r="M34" s="19"/>
      <c r="N34" s="19"/>
      <c r="O34" s="19"/>
      <c r="P34" s="19" t="s">
        <v>632</v>
      </c>
      <c r="Q34" s="19"/>
      <c r="R34" s="19"/>
      <c r="S34" s="19"/>
      <c r="T34" s="47" t="s">
        <v>554</v>
      </c>
    </row>
    <row r="35" spans="7:20" ht="54" x14ac:dyDescent="0.15">
      <c r="G35" s="41">
        <v>30</v>
      </c>
      <c r="H35" s="41" t="s">
        <v>716</v>
      </c>
      <c r="I35" s="44"/>
      <c r="J35" s="19"/>
      <c r="K35" s="19"/>
      <c r="L35" s="19"/>
      <c r="M35" s="19"/>
      <c r="N35" s="19"/>
      <c r="O35" s="19"/>
      <c r="P35" s="19" t="s">
        <v>633</v>
      </c>
      <c r="Q35" s="19"/>
      <c r="R35" s="19"/>
      <c r="S35" s="19"/>
      <c r="T35" s="47" t="s">
        <v>554</v>
      </c>
    </row>
    <row r="36" spans="7:20" ht="27" x14ac:dyDescent="0.15">
      <c r="G36" s="41">
        <v>31</v>
      </c>
      <c r="H36" s="41" t="s">
        <v>426</v>
      </c>
      <c r="I36" s="44"/>
      <c r="J36" s="19"/>
      <c r="K36" s="19"/>
      <c r="L36" s="19"/>
      <c r="M36" s="19" t="s">
        <v>611</v>
      </c>
      <c r="N36" s="19"/>
      <c r="O36" s="19"/>
      <c r="P36" s="19"/>
      <c r="Q36" s="19"/>
      <c r="R36" s="58" t="s">
        <v>774</v>
      </c>
      <c r="S36" s="58" t="s">
        <v>775</v>
      </c>
      <c r="T36" s="47" t="s">
        <v>554</v>
      </c>
    </row>
    <row r="37" spans="7:20" ht="67.5" x14ac:dyDescent="0.15">
      <c r="G37" s="41">
        <v>32</v>
      </c>
      <c r="H37" s="41" t="s">
        <v>427</v>
      </c>
      <c r="I37" s="44"/>
      <c r="J37" s="19" t="s">
        <v>514</v>
      </c>
      <c r="K37" s="19" t="s">
        <v>563</v>
      </c>
      <c r="L37" s="19" t="s">
        <v>563</v>
      </c>
      <c r="M37" s="19" t="s">
        <v>612</v>
      </c>
      <c r="N37" s="19" t="s">
        <v>614</v>
      </c>
      <c r="O37" s="58" t="s">
        <v>563</v>
      </c>
      <c r="P37" s="19" t="s">
        <v>634</v>
      </c>
      <c r="Q37" s="58" t="s">
        <v>748</v>
      </c>
      <c r="R37" s="58" t="s">
        <v>612</v>
      </c>
      <c r="S37" s="58" t="s">
        <v>614</v>
      </c>
      <c r="T37" s="47" t="s">
        <v>554</v>
      </c>
    </row>
    <row r="38" spans="7:20" ht="54" x14ac:dyDescent="0.15">
      <c r="G38" s="41">
        <v>33</v>
      </c>
      <c r="H38" s="41" t="s">
        <v>469</v>
      </c>
      <c r="I38" s="44"/>
      <c r="J38" s="19" t="s">
        <v>515</v>
      </c>
      <c r="K38" s="19" t="s">
        <v>564</v>
      </c>
      <c r="L38" s="19" t="s">
        <v>564</v>
      </c>
      <c r="M38" s="19" t="s">
        <v>613</v>
      </c>
      <c r="N38" s="19" t="s">
        <v>615</v>
      </c>
      <c r="O38" s="58" t="s">
        <v>564</v>
      </c>
      <c r="P38" s="19" t="s">
        <v>635</v>
      </c>
      <c r="Q38" s="58" t="s">
        <v>749</v>
      </c>
      <c r="R38" s="58" t="s">
        <v>613</v>
      </c>
      <c r="S38" s="58" t="s">
        <v>615</v>
      </c>
      <c r="T38" s="47" t="s">
        <v>554</v>
      </c>
    </row>
    <row r="39" spans="7:20" ht="27" x14ac:dyDescent="0.15">
      <c r="G39" s="41">
        <v>34</v>
      </c>
      <c r="H39" s="41" t="s">
        <v>428</v>
      </c>
      <c r="I39" s="44"/>
      <c r="J39" s="19" t="s">
        <v>542</v>
      </c>
      <c r="K39" s="19" t="s">
        <v>545</v>
      </c>
      <c r="L39" s="19" t="s">
        <v>545</v>
      </c>
      <c r="M39" s="19" t="s">
        <v>684</v>
      </c>
      <c r="N39" s="19"/>
      <c r="O39" s="58" t="s">
        <v>545</v>
      </c>
      <c r="P39" s="19" t="s">
        <v>636</v>
      </c>
      <c r="Q39" s="58" t="s">
        <v>750</v>
      </c>
      <c r="R39" s="58" t="s">
        <v>776</v>
      </c>
      <c r="S39" s="19"/>
      <c r="T39" s="47" t="s">
        <v>554</v>
      </c>
    </row>
    <row r="40" spans="7:20" ht="27" x14ac:dyDescent="0.15">
      <c r="G40" s="41">
        <v>35</v>
      </c>
      <c r="H40" s="41" t="s">
        <v>429</v>
      </c>
      <c r="I40" s="44"/>
      <c r="J40" s="19" t="s">
        <v>543</v>
      </c>
      <c r="K40" s="19" t="s">
        <v>546</v>
      </c>
      <c r="L40" s="19" t="s">
        <v>546</v>
      </c>
      <c r="M40" s="19" t="s">
        <v>685</v>
      </c>
      <c r="N40" s="19"/>
      <c r="O40" s="58" t="s">
        <v>546</v>
      </c>
      <c r="P40" s="19" t="s">
        <v>637</v>
      </c>
      <c r="Q40" s="58" t="s">
        <v>751</v>
      </c>
      <c r="R40" s="58" t="s">
        <v>777</v>
      </c>
      <c r="S40" s="19"/>
      <c r="T40" s="47" t="s">
        <v>554</v>
      </c>
    </row>
    <row r="41" spans="7:20" ht="27" x14ac:dyDescent="0.15">
      <c r="G41" s="41">
        <v>36</v>
      </c>
      <c r="H41" s="41" t="s">
        <v>431</v>
      </c>
      <c r="I41" s="44"/>
      <c r="J41" s="19" t="s">
        <v>544</v>
      </c>
      <c r="K41" s="19" t="s">
        <v>565</v>
      </c>
      <c r="L41" s="19" t="s">
        <v>565</v>
      </c>
      <c r="M41" s="19" t="s">
        <v>686</v>
      </c>
      <c r="N41" s="19"/>
      <c r="O41" s="58" t="s">
        <v>565</v>
      </c>
      <c r="P41" s="19" t="s">
        <v>638</v>
      </c>
      <c r="Q41" s="19"/>
      <c r="R41" s="58" t="s">
        <v>778</v>
      </c>
      <c r="S41" s="19"/>
      <c r="T41" s="47" t="s">
        <v>554</v>
      </c>
    </row>
    <row r="42" spans="7:20" ht="27" x14ac:dyDescent="0.15">
      <c r="G42" s="41">
        <v>37</v>
      </c>
      <c r="H42" s="41" t="s">
        <v>430</v>
      </c>
      <c r="I42" s="44"/>
      <c r="J42" s="19" t="s">
        <v>545</v>
      </c>
      <c r="K42" s="19" t="s">
        <v>566</v>
      </c>
      <c r="L42" s="19" t="s">
        <v>566</v>
      </c>
      <c r="M42" s="19" t="s">
        <v>687</v>
      </c>
      <c r="N42" s="19"/>
      <c r="O42" s="58" t="s">
        <v>566</v>
      </c>
      <c r="P42" s="19" t="s">
        <v>639</v>
      </c>
      <c r="Q42" s="58" t="s">
        <v>566</v>
      </c>
      <c r="R42" s="58" t="s">
        <v>779</v>
      </c>
      <c r="S42" s="19"/>
      <c r="T42" s="47" t="s">
        <v>554</v>
      </c>
    </row>
    <row r="43" spans="7:20" ht="27" x14ac:dyDescent="0.15">
      <c r="G43" s="41">
        <v>38</v>
      </c>
      <c r="H43" s="41" t="s">
        <v>432</v>
      </c>
      <c r="I43" s="44"/>
      <c r="J43" s="19" t="s">
        <v>546</v>
      </c>
      <c r="K43" s="19" t="s">
        <v>567</v>
      </c>
      <c r="L43" s="19" t="s">
        <v>567</v>
      </c>
      <c r="M43" s="19" t="s">
        <v>688</v>
      </c>
      <c r="N43" s="19"/>
      <c r="O43" s="58" t="s">
        <v>567</v>
      </c>
      <c r="P43" s="19" t="s">
        <v>616</v>
      </c>
      <c r="Q43" s="58" t="s">
        <v>567</v>
      </c>
      <c r="R43" s="58" t="s">
        <v>780</v>
      </c>
      <c r="S43" s="19"/>
      <c r="T43" s="47" t="s">
        <v>554</v>
      </c>
    </row>
    <row r="44" spans="7:20" ht="27" x14ac:dyDescent="0.15">
      <c r="G44" s="41">
        <v>39</v>
      </c>
      <c r="H44" s="41" t="s">
        <v>436</v>
      </c>
      <c r="I44" s="44"/>
      <c r="J44" s="19" t="s">
        <v>529</v>
      </c>
      <c r="K44" s="19" t="s">
        <v>529</v>
      </c>
      <c r="L44" s="19" t="s">
        <v>529</v>
      </c>
      <c r="M44" s="19" t="s">
        <v>656</v>
      </c>
      <c r="N44" s="19"/>
      <c r="O44" s="58" t="s">
        <v>529</v>
      </c>
      <c r="P44" s="19" t="s">
        <v>529</v>
      </c>
      <c r="Q44" s="58" t="s">
        <v>821</v>
      </c>
      <c r="R44" s="58" t="s">
        <v>656</v>
      </c>
      <c r="S44" s="19"/>
      <c r="T44" s="47" t="s">
        <v>554</v>
      </c>
    </row>
    <row r="45" spans="7:20" ht="27" x14ac:dyDescent="0.15">
      <c r="G45" s="41">
        <v>40</v>
      </c>
      <c r="H45" s="41" t="s">
        <v>437</v>
      </c>
      <c r="I45" s="44"/>
      <c r="J45" s="19" t="s">
        <v>530</v>
      </c>
      <c r="K45" s="19" t="s">
        <v>530</v>
      </c>
      <c r="L45" s="19" t="s">
        <v>530</v>
      </c>
      <c r="M45" s="19" t="s">
        <v>657</v>
      </c>
      <c r="N45" s="19"/>
      <c r="O45" s="58" t="s">
        <v>530</v>
      </c>
      <c r="P45" s="19" t="s">
        <v>530</v>
      </c>
      <c r="Q45" s="58" t="s">
        <v>822</v>
      </c>
      <c r="R45" s="58" t="s">
        <v>657</v>
      </c>
      <c r="S45" s="19"/>
      <c r="T45" s="47" t="s">
        <v>554</v>
      </c>
    </row>
    <row r="46" spans="7:20" ht="27" x14ac:dyDescent="0.15">
      <c r="G46" s="41">
        <v>41</v>
      </c>
      <c r="H46" s="41" t="s">
        <v>438</v>
      </c>
      <c r="I46" s="44"/>
      <c r="J46" s="19" t="s">
        <v>531</v>
      </c>
      <c r="K46" s="19" t="s">
        <v>531</v>
      </c>
      <c r="L46" s="19" t="s">
        <v>531</v>
      </c>
      <c r="M46" s="19" t="s">
        <v>658</v>
      </c>
      <c r="N46" s="19"/>
      <c r="O46" s="58" t="s">
        <v>531</v>
      </c>
      <c r="P46" s="19" t="s">
        <v>531</v>
      </c>
      <c r="Q46" s="58" t="s">
        <v>823</v>
      </c>
      <c r="R46" s="58" t="s">
        <v>658</v>
      </c>
      <c r="S46" s="19"/>
      <c r="T46" s="47" t="s">
        <v>554</v>
      </c>
    </row>
    <row r="47" spans="7:20" ht="27" x14ac:dyDescent="0.15">
      <c r="G47" s="41">
        <v>42</v>
      </c>
      <c r="H47" s="41" t="s">
        <v>439</v>
      </c>
      <c r="I47" s="44"/>
      <c r="J47" s="19" t="s">
        <v>532</v>
      </c>
      <c r="K47" s="19" t="s">
        <v>532</v>
      </c>
      <c r="L47" s="19" t="s">
        <v>532</v>
      </c>
      <c r="M47" s="19" t="s">
        <v>659</v>
      </c>
      <c r="N47" s="19"/>
      <c r="O47" s="58" t="s">
        <v>532</v>
      </c>
      <c r="P47" s="19" t="s">
        <v>532</v>
      </c>
      <c r="Q47" s="58" t="s">
        <v>824</v>
      </c>
      <c r="R47" s="58" t="s">
        <v>659</v>
      </c>
      <c r="S47" s="19"/>
      <c r="T47" s="47" t="s">
        <v>554</v>
      </c>
    </row>
    <row r="48" spans="7:20" ht="27" x14ac:dyDescent="0.15">
      <c r="G48" s="41">
        <v>43</v>
      </c>
      <c r="H48" s="41" t="s">
        <v>440</v>
      </c>
      <c r="I48" s="44"/>
      <c r="J48" s="19"/>
      <c r="K48" s="19" t="s">
        <v>568</v>
      </c>
      <c r="L48" s="19" t="s">
        <v>568</v>
      </c>
      <c r="M48" s="19" t="s">
        <v>660</v>
      </c>
      <c r="N48" s="19"/>
      <c r="O48" s="58" t="s">
        <v>568</v>
      </c>
      <c r="P48" s="19" t="s">
        <v>568</v>
      </c>
      <c r="Q48" s="58" t="s">
        <v>825</v>
      </c>
      <c r="R48" s="19"/>
      <c r="S48" s="19"/>
      <c r="T48" s="47" t="s">
        <v>554</v>
      </c>
    </row>
    <row r="49" spans="7:20" ht="27" x14ac:dyDescent="0.15">
      <c r="G49" s="41">
        <v>44</v>
      </c>
      <c r="H49" s="41" t="s">
        <v>441</v>
      </c>
      <c r="I49" s="44"/>
      <c r="J49" s="19"/>
      <c r="K49" s="19"/>
      <c r="L49" s="19"/>
      <c r="M49" s="19" t="s">
        <v>661</v>
      </c>
      <c r="N49" s="19"/>
      <c r="O49" s="58" t="s">
        <v>734</v>
      </c>
      <c r="P49" s="19" t="s">
        <v>617</v>
      </c>
      <c r="Q49" s="58" t="s">
        <v>826</v>
      </c>
      <c r="R49" s="19"/>
      <c r="S49" s="19"/>
      <c r="T49" s="47" t="s">
        <v>554</v>
      </c>
    </row>
    <row r="50" spans="7:20" x14ac:dyDescent="0.15">
      <c r="G50" s="41">
        <v>45</v>
      </c>
      <c r="H50" s="41" t="s">
        <v>442</v>
      </c>
      <c r="I50" s="44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47" t="s">
        <v>554</v>
      </c>
    </row>
    <row r="51" spans="7:20" x14ac:dyDescent="0.15">
      <c r="G51" s="41">
        <v>46</v>
      </c>
      <c r="H51" s="41" t="s">
        <v>443</v>
      </c>
      <c r="I51" s="44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47" t="s">
        <v>554</v>
      </c>
    </row>
    <row r="52" spans="7:20" ht="27" x14ac:dyDescent="0.15">
      <c r="G52" s="41">
        <v>47</v>
      </c>
      <c r="H52" s="41" t="s">
        <v>444</v>
      </c>
      <c r="I52" s="44"/>
      <c r="J52" s="19" t="s">
        <v>552</v>
      </c>
      <c r="K52" s="19" t="s">
        <v>586</v>
      </c>
      <c r="L52" s="19" t="s">
        <v>586</v>
      </c>
      <c r="M52" s="19" t="s">
        <v>662</v>
      </c>
      <c r="N52" s="19"/>
      <c r="O52" s="58" t="s">
        <v>735</v>
      </c>
      <c r="P52" s="19" t="s">
        <v>641</v>
      </c>
      <c r="Q52" s="58" t="s">
        <v>753</v>
      </c>
      <c r="R52" s="58" t="s">
        <v>781</v>
      </c>
      <c r="S52" s="19"/>
      <c r="T52" s="47" t="s">
        <v>554</v>
      </c>
    </row>
    <row r="53" spans="7:20" ht="40.5" x14ac:dyDescent="0.15">
      <c r="G53" s="41">
        <v>48</v>
      </c>
      <c r="H53" s="41" t="s">
        <v>445</v>
      </c>
      <c r="I53" s="44"/>
      <c r="J53" s="19" t="s">
        <v>516</v>
      </c>
      <c r="K53" s="19" t="s">
        <v>569</v>
      </c>
      <c r="L53" s="19" t="s">
        <v>569</v>
      </c>
      <c r="M53" s="19" t="s">
        <v>663</v>
      </c>
      <c r="N53" s="19"/>
      <c r="O53" s="58" t="s">
        <v>569</v>
      </c>
      <c r="P53" s="19" t="s">
        <v>642</v>
      </c>
      <c r="Q53" s="58" t="s">
        <v>754</v>
      </c>
      <c r="R53" s="58" t="s">
        <v>782</v>
      </c>
      <c r="S53" s="19"/>
      <c r="T53" s="47" t="s">
        <v>554</v>
      </c>
    </row>
    <row r="54" spans="7:20" ht="40.5" x14ac:dyDescent="0.15">
      <c r="G54" s="41">
        <v>49</v>
      </c>
      <c r="H54" s="41" t="s">
        <v>446</v>
      </c>
      <c r="I54" s="44"/>
      <c r="J54" s="19" t="s">
        <v>517</v>
      </c>
      <c r="K54" s="19" t="s">
        <v>570</v>
      </c>
      <c r="L54" s="19" t="s">
        <v>570</v>
      </c>
      <c r="M54" s="19" t="s">
        <v>664</v>
      </c>
      <c r="N54" s="19"/>
      <c r="O54" s="58" t="s">
        <v>570</v>
      </c>
      <c r="P54" s="19" t="s">
        <v>643</v>
      </c>
      <c r="Q54" s="58" t="s">
        <v>755</v>
      </c>
      <c r="R54" s="58" t="s">
        <v>783</v>
      </c>
      <c r="S54" s="19"/>
      <c r="T54" s="47" t="s">
        <v>554</v>
      </c>
    </row>
    <row r="55" spans="7:20" ht="67.5" x14ac:dyDescent="0.15">
      <c r="G55" s="41">
        <v>50</v>
      </c>
      <c r="H55" s="41" t="s">
        <v>476</v>
      </c>
      <c r="I55" s="44"/>
      <c r="J55" s="19" t="s">
        <v>518</v>
      </c>
      <c r="K55" s="19" t="s">
        <v>524</v>
      </c>
      <c r="L55" s="19" t="s">
        <v>524</v>
      </c>
      <c r="M55" s="19" t="s">
        <v>665</v>
      </c>
      <c r="N55" s="19" t="s">
        <v>668</v>
      </c>
      <c r="O55" s="58" t="s">
        <v>524</v>
      </c>
      <c r="P55" s="19" t="s">
        <v>644</v>
      </c>
      <c r="Q55" s="19"/>
      <c r="R55" s="58" t="s">
        <v>784</v>
      </c>
      <c r="S55" s="58" t="s">
        <v>787</v>
      </c>
      <c r="T55" s="47" t="s">
        <v>554</v>
      </c>
    </row>
    <row r="56" spans="7:20" ht="67.5" x14ac:dyDescent="0.15">
      <c r="G56" s="41">
        <v>51</v>
      </c>
      <c r="H56" s="41" t="s">
        <v>471</v>
      </c>
      <c r="I56" s="44"/>
      <c r="J56" s="19" t="s">
        <v>519</v>
      </c>
      <c r="K56" s="19" t="s">
        <v>525</v>
      </c>
      <c r="L56" s="19" t="s">
        <v>525</v>
      </c>
      <c r="M56" s="19" t="s">
        <v>666</v>
      </c>
      <c r="N56" s="19" t="s">
        <v>669</v>
      </c>
      <c r="O56" s="58" t="s">
        <v>525</v>
      </c>
      <c r="P56" s="19" t="s">
        <v>645</v>
      </c>
      <c r="Q56" s="19"/>
      <c r="R56" s="58" t="s">
        <v>785</v>
      </c>
      <c r="S56" s="58" t="s">
        <v>788</v>
      </c>
      <c r="T56" s="47" t="s">
        <v>554</v>
      </c>
    </row>
    <row r="57" spans="7:20" ht="54" x14ac:dyDescent="0.15">
      <c r="G57" s="41">
        <v>52</v>
      </c>
      <c r="H57" s="41" t="s">
        <v>472</v>
      </c>
      <c r="I57" s="44"/>
      <c r="J57" s="19" t="s">
        <v>520</v>
      </c>
      <c r="K57" s="19" t="s">
        <v>526</v>
      </c>
      <c r="L57" s="19" t="s">
        <v>526</v>
      </c>
      <c r="M57" s="19" t="s">
        <v>667</v>
      </c>
      <c r="N57" s="19" t="s">
        <v>670</v>
      </c>
      <c r="O57" s="58" t="s">
        <v>526</v>
      </c>
      <c r="P57" s="19" t="s">
        <v>646</v>
      </c>
      <c r="Q57" s="19"/>
      <c r="R57" s="58" t="s">
        <v>786</v>
      </c>
      <c r="S57" s="58" t="s">
        <v>789</v>
      </c>
      <c r="T57" s="47" t="s">
        <v>554</v>
      </c>
    </row>
    <row r="58" spans="7:20" ht="67.5" x14ac:dyDescent="0.15">
      <c r="G58" s="41">
        <v>53</v>
      </c>
      <c r="H58" s="41" t="s">
        <v>473</v>
      </c>
      <c r="I58" s="44"/>
      <c r="J58" s="19" t="s">
        <v>521</v>
      </c>
      <c r="K58" s="19" t="s">
        <v>571</v>
      </c>
      <c r="L58" s="19" t="s">
        <v>571</v>
      </c>
      <c r="M58" s="19" t="s">
        <v>671</v>
      </c>
      <c r="N58" s="19" t="s">
        <v>677</v>
      </c>
      <c r="O58" s="54"/>
      <c r="P58" s="19" t="s">
        <v>618</v>
      </c>
      <c r="Q58" s="19"/>
      <c r="R58" s="58" t="s">
        <v>790</v>
      </c>
      <c r="S58" s="58" t="s">
        <v>793</v>
      </c>
      <c r="T58" s="47" t="s">
        <v>554</v>
      </c>
    </row>
    <row r="59" spans="7:20" ht="67.5" x14ac:dyDescent="0.15">
      <c r="G59" s="41">
        <v>54</v>
      </c>
      <c r="H59" s="41" t="s">
        <v>474</v>
      </c>
      <c r="I59" s="44"/>
      <c r="J59" s="19" t="s">
        <v>522</v>
      </c>
      <c r="K59" s="19" t="s">
        <v>572</v>
      </c>
      <c r="L59" s="19" t="s">
        <v>572</v>
      </c>
      <c r="M59" s="19" t="s">
        <v>672</v>
      </c>
      <c r="N59" s="19" t="s">
        <v>678</v>
      </c>
      <c r="O59" s="54"/>
      <c r="P59" s="19" t="s">
        <v>619</v>
      </c>
      <c r="Q59" s="19"/>
      <c r="R59" s="58" t="s">
        <v>791</v>
      </c>
      <c r="S59" s="58" t="s">
        <v>794</v>
      </c>
      <c r="T59" s="47" t="s">
        <v>554</v>
      </c>
    </row>
    <row r="60" spans="7:20" ht="54" x14ac:dyDescent="0.15">
      <c r="G60" s="41">
        <v>55</v>
      </c>
      <c r="H60" s="41" t="s">
        <v>475</v>
      </c>
      <c r="I60" s="44"/>
      <c r="J60" s="19" t="s">
        <v>523</v>
      </c>
      <c r="K60" s="19" t="s">
        <v>573</v>
      </c>
      <c r="L60" s="19" t="s">
        <v>573</v>
      </c>
      <c r="M60" s="19" t="s">
        <v>673</v>
      </c>
      <c r="N60" s="19" t="s">
        <v>679</v>
      </c>
      <c r="O60" s="54"/>
      <c r="P60" s="19" t="s">
        <v>620</v>
      </c>
      <c r="Q60" s="19"/>
      <c r="R60" s="58" t="s">
        <v>792</v>
      </c>
      <c r="S60" s="58" t="s">
        <v>795</v>
      </c>
      <c r="T60" s="47" t="s">
        <v>554</v>
      </c>
    </row>
    <row r="61" spans="7:20" ht="67.5" x14ac:dyDescent="0.15">
      <c r="G61" s="41">
        <v>56</v>
      </c>
      <c r="H61" s="41" t="s">
        <v>447</v>
      </c>
      <c r="I61" s="44"/>
      <c r="J61" s="19" t="s">
        <v>524</v>
      </c>
      <c r="K61" s="19" t="s">
        <v>585</v>
      </c>
      <c r="L61" s="19" t="s">
        <v>585</v>
      </c>
      <c r="M61" s="19" t="s">
        <v>674</v>
      </c>
      <c r="N61" s="19" t="s">
        <v>680</v>
      </c>
      <c r="O61" s="54"/>
      <c r="P61" s="19" t="s">
        <v>621</v>
      </c>
      <c r="Q61" s="19"/>
      <c r="R61" s="58" t="s">
        <v>796</v>
      </c>
      <c r="S61" s="58" t="s">
        <v>799</v>
      </c>
      <c r="T61" s="47" t="s">
        <v>554</v>
      </c>
    </row>
    <row r="62" spans="7:20" ht="67.5" x14ac:dyDescent="0.15">
      <c r="G62" s="41">
        <v>57</v>
      </c>
      <c r="H62" s="41" t="s">
        <v>448</v>
      </c>
      <c r="I62" s="44"/>
      <c r="J62" s="19" t="s">
        <v>525</v>
      </c>
      <c r="K62" s="19" t="s">
        <v>574</v>
      </c>
      <c r="L62" s="19" t="s">
        <v>574</v>
      </c>
      <c r="M62" s="19" t="s">
        <v>675</v>
      </c>
      <c r="N62" s="19" t="s">
        <v>681</v>
      </c>
      <c r="O62" s="54"/>
      <c r="P62" s="19" t="s">
        <v>622</v>
      </c>
      <c r="Q62" s="19"/>
      <c r="R62" s="58" t="s">
        <v>797</v>
      </c>
      <c r="S62" s="58" t="s">
        <v>800</v>
      </c>
      <c r="T62" s="47" t="s">
        <v>554</v>
      </c>
    </row>
    <row r="63" spans="7:20" ht="54" x14ac:dyDescent="0.15">
      <c r="G63" s="41">
        <v>58</v>
      </c>
      <c r="H63" s="41" t="s">
        <v>449</v>
      </c>
      <c r="I63" s="44"/>
      <c r="J63" s="19" t="s">
        <v>526</v>
      </c>
      <c r="K63" s="19" t="s">
        <v>575</v>
      </c>
      <c r="L63" s="19" t="s">
        <v>575</v>
      </c>
      <c r="M63" s="19" t="s">
        <v>676</v>
      </c>
      <c r="N63" s="19" t="s">
        <v>682</v>
      </c>
      <c r="O63" s="54"/>
      <c r="P63" s="19" t="s">
        <v>623</v>
      </c>
      <c r="Q63" s="19"/>
      <c r="R63" s="58" t="s">
        <v>798</v>
      </c>
      <c r="S63" s="58" t="s">
        <v>801</v>
      </c>
      <c r="T63" s="47" t="s">
        <v>554</v>
      </c>
    </row>
    <row r="64" spans="7:20" ht="67.5" x14ac:dyDescent="0.15">
      <c r="G64" s="41">
        <v>59</v>
      </c>
      <c r="H64" s="41" t="s">
        <v>477</v>
      </c>
      <c r="I64" s="44"/>
      <c r="J64" s="19"/>
      <c r="K64" s="19"/>
      <c r="L64" s="19"/>
      <c r="M64" s="19"/>
      <c r="N64" s="19"/>
      <c r="O64" s="58" t="s">
        <v>571</v>
      </c>
      <c r="P64" s="19"/>
      <c r="Q64" s="19"/>
      <c r="R64" s="19"/>
      <c r="S64" s="19"/>
      <c r="T64" s="47" t="s">
        <v>554</v>
      </c>
    </row>
    <row r="65" spans="7:20" ht="67.5" x14ac:dyDescent="0.15">
      <c r="G65" s="41">
        <v>60</v>
      </c>
      <c r="H65" s="41" t="s">
        <v>479</v>
      </c>
      <c r="I65" s="44"/>
      <c r="J65" s="19"/>
      <c r="K65" s="19"/>
      <c r="L65" s="19"/>
      <c r="M65" s="19"/>
      <c r="N65" s="19"/>
      <c r="O65" s="58" t="s">
        <v>572</v>
      </c>
      <c r="P65" s="19"/>
      <c r="Q65" s="19"/>
      <c r="R65" s="19"/>
      <c r="S65" s="19"/>
      <c r="T65" s="47" t="s">
        <v>554</v>
      </c>
    </row>
    <row r="66" spans="7:20" ht="54" x14ac:dyDescent="0.15">
      <c r="G66" s="41">
        <v>61</v>
      </c>
      <c r="H66" s="41" t="s">
        <v>480</v>
      </c>
      <c r="I66" s="44"/>
      <c r="J66" s="19"/>
      <c r="K66" s="19"/>
      <c r="L66" s="19"/>
      <c r="M66" s="19"/>
      <c r="N66" s="19"/>
      <c r="O66" s="58" t="s">
        <v>573</v>
      </c>
      <c r="P66" s="19"/>
      <c r="Q66" s="19"/>
      <c r="R66" s="19"/>
      <c r="S66" s="19"/>
      <c r="T66" s="47" t="s">
        <v>554</v>
      </c>
    </row>
    <row r="67" spans="7:20" ht="67.5" x14ac:dyDescent="0.15">
      <c r="G67" s="41">
        <v>62</v>
      </c>
      <c r="H67" s="41" t="s">
        <v>478</v>
      </c>
      <c r="I67" s="44"/>
      <c r="J67" s="19"/>
      <c r="K67" s="19"/>
      <c r="L67" s="19"/>
      <c r="M67" s="19"/>
      <c r="N67" s="19"/>
      <c r="O67" s="58" t="s">
        <v>738</v>
      </c>
      <c r="P67" s="19"/>
      <c r="Q67" s="19"/>
      <c r="R67" s="19"/>
      <c r="S67" s="19"/>
      <c r="T67" s="47" t="s">
        <v>554</v>
      </c>
    </row>
    <row r="68" spans="7:20" ht="67.5" x14ac:dyDescent="0.15">
      <c r="G68" s="41">
        <v>63</v>
      </c>
      <c r="H68" s="41" t="s">
        <v>481</v>
      </c>
      <c r="I68" s="44"/>
      <c r="J68" s="19"/>
      <c r="K68" s="19"/>
      <c r="L68" s="19"/>
      <c r="M68" s="19"/>
      <c r="N68" s="19"/>
      <c r="O68" s="58" t="s">
        <v>736</v>
      </c>
      <c r="P68" s="19"/>
      <c r="Q68" s="19"/>
      <c r="R68" s="19"/>
      <c r="S68" s="19"/>
      <c r="T68" s="47" t="s">
        <v>554</v>
      </c>
    </row>
    <row r="69" spans="7:20" ht="54" x14ac:dyDescent="0.15">
      <c r="G69" s="41">
        <v>64</v>
      </c>
      <c r="H69" s="41" t="s">
        <v>482</v>
      </c>
      <c r="I69" s="44"/>
      <c r="J69" s="19"/>
      <c r="K69" s="19"/>
      <c r="L69" s="19"/>
      <c r="M69" s="19"/>
      <c r="N69" s="19"/>
      <c r="O69" s="58" t="s">
        <v>737</v>
      </c>
      <c r="P69" s="19"/>
      <c r="Q69" s="19"/>
      <c r="R69" s="19"/>
      <c r="S69" s="19"/>
      <c r="T69" s="47" t="s">
        <v>554</v>
      </c>
    </row>
    <row r="70" spans="7:20" ht="27" x14ac:dyDescent="0.15">
      <c r="G70" s="41">
        <v>65</v>
      </c>
      <c r="H70" s="41" t="s">
        <v>752</v>
      </c>
      <c r="I70" s="44"/>
      <c r="J70" s="19"/>
      <c r="K70" s="19"/>
      <c r="L70" s="19"/>
      <c r="M70" s="19"/>
      <c r="N70" s="19"/>
      <c r="O70" s="19"/>
      <c r="P70" s="19"/>
      <c r="Q70" s="58" t="s">
        <v>756</v>
      </c>
      <c r="R70" s="19"/>
      <c r="S70" s="19"/>
      <c r="T70" s="47" t="s">
        <v>554</v>
      </c>
    </row>
    <row r="71" spans="7:20" ht="27" x14ac:dyDescent="0.15">
      <c r="G71" s="41">
        <v>66</v>
      </c>
      <c r="H71" s="41" t="s">
        <v>492</v>
      </c>
      <c r="I71" s="44"/>
      <c r="J71" s="19"/>
      <c r="K71" s="19"/>
      <c r="L71" s="19"/>
      <c r="M71" s="19"/>
      <c r="N71" s="19"/>
      <c r="O71" s="19"/>
      <c r="P71" s="19"/>
      <c r="Q71" s="58" t="s">
        <v>757</v>
      </c>
      <c r="R71" s="19"/>
      <c r="S71" s="19"/>
      <c r="T71" s="47" t="s">
        <v>554</v>
      </c>
    </row>
    <row r="72" spans="7:20" ht="27" x14ac:dyDescent="0.15">
      <c r="G72" s="41">
        <v>67</v>
      </c>
      <c r="H72" s="41" t="s">
        <v>493</v>
      </c>
      <c r="I72" s="44"/>
      <c r="J72" s="19"/>
      <c r="K72" s="19"/>
      <c r="L72" s="19"/>
      <c r="M72" s="19"/>
      <c r="N72" s="19"/>
      <c r="O72" s="19"/>
      <c r="P72" s="19"/>
      <c r="Q72" s="58" t="s">
        <v>758</v>
      </c>
      <c r="R72" s="19"/>
      <c r="S72" s="19"/>
      <c r="T72" s="47" t="s">
        <v>554</v>
      </c>
    </row>
    <row r="73" spans="7:20" ht="27" x14ac:dyDescent="0.15">
      <c r="G73" s="41">
        <v>68</v>
      </c>
      <c r="H73" s="41" t="s">
        <v>494</v>
      </c>
      <c r="I73" s="44"/>
      <c r="J73" s="19"/>
      <c r="K73" s="19"/>
      <c r="L73" s="19"/>
      <c r="M73" s="19"/>
      <c r="N73" s="19"/>
      <c r="O73" s="19"/>
      <c r="P73" s="19"/>
      <c r="Q73" s="58" t="s">
        <v>759</v>
      </c>
      <c r="R73" s="19"/>
      <c r="S73" s="19"/>
      <c r="T73" s="47" t="s">
        <v>554</v>
      </c>
    </row>
    <row r="74" spans="7:20" ht="27" x14ac:dyDescent="0.15">
      <c r="G74" s="41">
        <v>69</v>
      </c>
      <c r="H74" s="41" t="s">
        <v>450</v>
      </c>
      <c r="I74" s="44"/>
      <c r="J74" s="19" t="s">
        <v>547</v>
      </c>
      <c r="K74" s="19" t="s">
        <v>576</v>
      </c>
      <c r="L74" s="19" t="s">
        <v>576</v>
      </c>
      <c r="M74" s="19" t="s">
        <v>624</v>
      </c>
      <c r="N74" s="19" t="s">
        <v>628</v>
      </c>
      <c r="O74" s="19" t="s">
        <v>576</v>
      </c>
      <c r="P74" s="19" t="s">
        <v>647</v>
      </c>
      <c r="Q74" s="19"/>
      <c r="R74" s="58" t="s">
        <v>802</v>
      </c>
      <c r="S74" s="58" t="s">
        <v>803</v>
      </c>
      <c r="T74" s="47" t="s">
        <v>554</v>
      </c>
    </row>
    <row r="75" spans="7:20" ht="27" x14ac:dyDescent="0.15">
      <c r="G75" s="41">
        <v>70</v>
      </c>
      <c r="H75" s="41" t="s">
        <v>463</v>
      </c>
      <c r="I75" s="44"/>
      <c r="J75" s="19" t="s">
        <v>548</v>
      </c>
      <c r="K75" s="19" t="s">
        <v>577</v>
      </c>
      <c r="L75" s="19" t="s">
        <v>577</v>
      </c>
      <c r="M75" s="19"/>
      <c r="N75" s="19"/>
      <c r="O75" s="19" t="s">
        <v>577</v>
      </c>
      <c r="P75" s="19" t="s">
        <v>648</v>
      </c>
      <c r="Q75" s="19"/>
      <c r="R75" s="19"/>
      <c r="S75" s="19"/>
      <c r="T75" s="47" t="s">
        <v>554</v>
      </c>
    </row>
    <row r="76" spans="7:20" ht="40.5" x14ac:dyDescent="0.15">
      <c r="G76" s="41">
        <v>71</v>
      </c>
      <c r="H76" s="41" t="s">
        <v>451</v>
      </c>
      <c r="I76" s="44"/>
      <c r="J76" s="19" t="s">
        <v>527</v>
      </c>
      <c r="K76" s="19" t="s">
        <v>578</v>
      </c>
      <c r="L76" s="19" t="s">
        <v>578</v>
      </c>
      <c r="M76" s="19" t="s">
        <v>625</v>
      </c>
      <c r="N76" s="19" t="s">
        <v>629</v>
      </c>
      <c r="O76" s="19" t="s">
        <v>578</v>
      </c>
      <c r="P76" s="19" t="s">
        <v>649</v>
      </c>
      <c r="Q76" s="19"/>
      <c r="R76" s="58" t="s">
        <v>804</v>
      </c>
      <c r="S76" s="58" t="s">
        <v>805</v>
      </c>
      <c r="T76" s="47" t="s">
        <v>554</v>
      </c>
    </row>
    <row r="77" spans="7:20" ht="67.5" x14ac:dyDescent="0.15">
      <c r="G77" s="41">
        <v>72</v>
      </c>
      <c r="H77" s="41" t="s">
        <v>452</v>
      </c>
      <c r="I77" s="44"/>
      <c r="J77" s="19" t="s">
        <v>528</v>
      </c>
      <c r="K77" s="19" t="s">
        <v>579</v>
      </c>
      <c r="L77" s="19" t="s">
        <v>579</v>
      </c>
      <c r="M77" s="19" t="s">
        <v>626</v>
      </c>
      <c r="N77" s="19" t="s">
        <v>630</v>
      </c>
      <c r="O77" s="19" t="s">
        <v>579</v>
      </c>
      <c r="P77" s="19" t="s">
        <v>650</v>
      </c>
      <c r="Q77" s="19"/>
      <c r="R77" s="58" t="s">
        <v>807</v>
      </c>
      <c r="S77" s="58" t="s">
        <v>806</v>
      </c>
      <c r="T77" s="47" t="s">
        <v>554</v>
      </c>
    </row>
    <row r="78" spans="7:20" ht="94.5" x14ac:dyDescent="0.15">
      <c r="G78" s="41">
        <v>73</v>
      </c>
      <c r="H78" s="41" t="s">
        <v>453</v>
      </c>
      <c r="I78" s="44"/>
      <c r="J78" s="19" t="s">
        <v>727</v>
      </c>
      <c r="K78" s="19" t="s">
        <v>728</v>
      </c>
      <c r="L78" s="19" t="s">
        <v>728</v>
      </c>
      <c r="M78" s="19" t="s">
        <v>729</v>
      </c>
      <c r="N78" s="19" t="s">
        <v>730</v>
      </c>
      <c r="O78" s="19" t="s">
        <v>728</v>
      </c>
      <c r="P78" s="19" t="s">
        <v>731</v>
      </c>
      <c r="Q78" s="19"/>
      <c r="R78" s="58" t="s">
        <v>808</v>
      </c>
      <c r="S78" s="58" t="s">
        <v>809</v>
      </c>
      <c r="T78" s="47" t="s">
        <v>554</v>
      </c>
    </row>
    <row r="79" spans="7:20" ht="40.5" x14ac:dyDescent="0.15">
      <c r="G79" s="41">
        <v>74</v>
      </c>
      <c r="H79" s="41" t="s">
        <v>454</v>
      </c>
      <c r="I79" s="44"/>
      <c r="J79" s="19" t="s">
        <v>726</v>
      </c>
      <c r="K79" s="19" t="s">
        <v>580</v>
      </c>
      <c r="L79" s="19" t="s">
        <v>580</v>
      </c>
      <c r="M79" s="19" t="s">
        <v>627</v>
      </c>
      <c r="N79" s="19" t="s">
        <v>631</v>
      </c>
      <c r="O79" s="19" t="s">
        <v>580</v>
      </c>
      <c r="P79" s="19" t="s">
        <v>651</v>
      </c>
      <c r="Q79" s="19"/>
      <c r="R79" s="58" t="s">
        <v>810</v>
      </c>
      <c r="S79" s="58" t="s">
        <v>811</v>
      </c>
      <c r="T79" s="47" t="s">
        <v>554</v>
      </c>
    </row>
    <row r="80" spans="7:20" ht="94.5" x14ac:dyDescent="0.15">
      <c r="G80" s="41">
        <v>75</v>
      </c>
      <c r="H80" s="41" t="s">
        <v>455</v>
      </c>
      <c r="I80" s="44"/>
      <c r="J80" s="19"/>
      <c r="K80" s="19" t="s">
        <v>581</v>
      </c>
      <c r="L80" s="19" t="s">
        <v>581</v>
      </c>
      <c r="M80" s="19" t="s">
        <v>683</v>
      </c>
      <c r="N80" s="19"/>
      <c r="O80" s="19" t="s">
        <v>581</v>
      </c>
      <c r="P80" s="19" t="s">
        <v>652</v>
      </c>
      <c r="Q80" s="19"/>
      <c r="R80" s="58" t="s">
        <v>812</v>
      </c>
      <c r="S80" s="19"/>
      <c r="T80" s="47" t="s">
        <v>554</v>
      </c>
    </row>
    <row r="81" spans="7:20" ht="67.5" x14ac:dyDescent="0.15">
      <c r="G81" s="41">
        <v>76</v>
      </c>
      <c r="H81" s="41" t="s">
        <v>456</v>
      </c>
      <c r="I81" s="44"/>
      <c r="J81" s="19" t="s">
        <v>549</v>
      </c>
      <c r="K81" s="19" t="s">
        <v>582</v>
      </c>
      <c r="L81" s="19" t="s">
        <v>582</v>
      </c>
      <c r="M81" s="19" t="s">
        <v>691</v>
      </c>
      <c r="N81" s="19"/>
      <c r="O81" s="19" t="s">
        <v>582</v>
      </c>
      <c r="P81" s="19" t="s">
        <v>653</v>
      </c>
      <c r="Q81" s="58" t="s">
        <v>760</v>
      </c>
      <c r="R81" s="58" t="s">
        <v>813</v>
      </c>
      <c r="S81" s="19"/>
      <c r="T81" s="47" t="s">
        <v>554</v>
      </c>
    </row>
    <row r="82" spans="7:20" ht="67.5" x14ac:dyDescent="0.15">
      <c r="G82" s="41">
        <v>77</v>
      </c>
      <c r="H82" s="41" t="s">
        <v>457</v>
      </c>
      <c r="I82" s="44"/>
      <c r="J82" s="19" t="s">
        <v>550</v>
      </c>
      <c r="K82" s="19" t="s">
        <v>583</v>
      </c>
      <c r="L82" s="19" t="s">
        <v>583</v>
      </c>
      <c r="M82" s="19" t="s">
        <v>717</v>
      </c>
      <c r="N82" s="19"/>
      <c r="O82" s="19" t="s">
        <v>583</v>
      </c>
      <c r="P82" s="19" t="s">
        <v>654</v>
      </c>
      <c r="Q82" s="58" t="s">
        <v>761</v>
      </c>
      <c r="R82" s="58" t="s">
        <v>814</v>
      </c>
      <c r="S82" s="19"/>
      <c r="T82" s="47" t="s">
        <v>554</v>
      </c>
    </row>
    <row r="83" spans="7:20" ht="54" x14ac:dyDescent="0.15">
      <c r="G83" s="41">
        <v>78</v>
      </c>
      <c r="H83" s="41" t="s">
        <v>458</v>
      </c>
      <c r="I83" s="44"/>
      <c r="J83" s="19" t="s">
        <v>551</v>
      </c>
      <c r="K83" s="19" t="s">
        <v>584</v>
      </c>
      <c r="L83" s="19" t="s">
        <v>584</v>
      </c>
      <c r="M83" s="19" t="s">
        <v>718</v>
      </c>
      <c r="N83" s="19"/>
      <c r="O83" s="19" t="s">
        <v>584</v>
      </c>
      <c r="P83" s="19" t="s">
        <v>655</v>
      </c>
      <c r="Q83" s="19"/>
      <c r="R83" s="58" t="s">
        <v>815</v>
      </c>
      <c r="S83" s="19"/>
      <c r="T83" s="47" t="s">
        <v>554</v>
      </c>
    </row>
    <row r="84" spans="7:20" ht="30" customHeight="1" x14ac:dyDescent="0.15">
      <c r="O84" s="55" t="s">
        <v>640</v>
      </c>
    </row>
    <row r="87" spans="7:20" x14ac:dyDescent="0.15">
      <c r="M87" s="56" t="s">
        <v>719</v>
      </c>
    </row>
  </sheetData>
  <sortState ref="B4:K14">
    <sortCondition ref="B4:B14"/>
  </sortState>
  <mergeCells count="2">
    <mergeCell ref="R2:S2"/>
    <mergeCell ref="M2:N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U30"/>
  <sheetViews>
    <sheetView zoomScale="70" zoomScaleNormal="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11" sqref="G11:I11"/>
    </sheetView>
  </sheetViews>
  <sheetFormatPr defaultColWidth="9" defaultRowHeight="13.5" x14ac:dyDescent="0.15"/>
  <cols>
    <col min="1" max="1" width="3.25" style="10" customWidth="1"/>
    <col min="2" max="2" width="5.625" style="10" customWidth="1"/>
    <col min="3" max="3" width="9.25" style="10" customWidth="1"/>
    <col min="4" max="4" width="6.375" style="10" customWidth="1"/>
    <col min="5" max="5" width="11" style="10" customWidth="1"/>
    <col min="6" max="6" width="13.625" style="10" customWidth="1"/>
    <col min="7" max="7" width="18.625" style="10" customWidth="1"/>
    <col min="8" max="8" width="14.5" style="10" customWidth="1"/>
    <col min="9" max="9" width="18.375" style="10" customWidth="1"/>
    <col min="10" max="10" width="25" style="10" customWidth="1"/>
    <col min="11" max="11" width="17.75" style="10" customWidth="1"/>
    <col min="12" max="12" width="9" style="10" customWidth="1"/>
    <col min="13" max="13" width="13.125" style="10" customWidth="1"/>
    <col min="14" max="14" width="18.625" style="10" customWidth="1"/>
    <col min="15" max="17" width="10.625" style="10" customWidth="1"/>
    <col min="18" max="18" width="12.625" style="10" customWidth="1"/>
    <col min="19" max="19" width="10.625" style="10" customWidth="1"/>
    <col min="20" max="20" width="21" customWidth="1"/>
    <col min="21" max="21" width="22.125" customWidth="1"/>
    <col min="22" max="16384" width="9" style="10"/>
  </cols>
  <sheetData>
    <row r="1" spans="2:21" ht="14.25" x14ac:dyDescent="0.15">
      <c r="B1" s="10">
        <f>COUNTA(B3:B18)</f>
        <v>16</v>
      </c>
      <c r="C1" s="10">
        <v>20</v>
      </c>
      <c r="G1" s="10" t="s">
        <v>868</v>
      </c>
      <c r="H1" s="10" t="s">
        <v>869</v>
      </c>
      <c r="I1" s="10" t="s">
        <v>882</v>
      </c>
      <c r="J1" s="10" t="s">
        <v>883</v>
      </c>
      <c r="K1" s="2"/>
      <c r="L1" s="2"/>
      <c r="M1" s="2" t="s">
        <v>129</v>
      </c>
      <c r="N1" s="2" t="s">
        <v>130</v>
      </c>
      <c r="O1" s="2" t="s">
        <v>131</v>
      </c>
      <c r="P1" s="2" t="s">
        <v>132</v>
      </c>
      <c r="Q1" s="2" t="s">
        <v>133</v>
      </c>
      <c r="R1" s="2" t="s">
        <v>134</v>
      </c>
      <c r="S1" s="2" t="s">
        <v>135</v>
      </c>
    </row>
    <row r="2" spans="2:21" ht="28.5" x14ac:dyDescent="0.15">
      <c r="B2" s="11" t="s">
        <v>12</v>
      </c>
      <c r="C2" s="11" t="s">
        <v>22</v>
      </c>
      <c r="D2" s="11" t="s">
        <v>43</v>
      </c>
      <c r="E2" s="3" t="s">
        <v>4</v>
      </c>
      <c r="F2" s="3" t="s">
        <v>21</v>
      </c>
      <c r="G2" s="12" t="s">
        <v>46</v>
      </c>
      <c r="H2" s="12" t="s">
        <v>47</v>
      </c>
      <c r="I2" s="12" t="s">
        <v>884</v>
      </c>
      <c r="J2" s="12" t="s">
        <v>885</v>
      </c>
      <c r="K2" s="11" t="s">
        <v>153</v>
      </c>
      <c r="L2" s="11"/>
      <c r="M2" s="12" t="s">
        <v>36</v>
      </c>
      <c r="N2" s="12" t="s">
        <v>37</v>
      </c>
      <c r="O2" s="12" t="s">
        <v>39</v>
      </c>
      <c r="P2" s="3" t="s">
        <v>40</v>
      </c>
      <c r="Q2" s="12" t="s">
        <v>41</v>
      </c>
      <c r="R2" s="3" t="s">
        <v>42</v>
      </c>
      <c r="S2" s="3" t="s">
        <v>38</v>
      </c>
      <c r="T2" s="25" t="s">
        <v>180</v>
      </c>
      <c r="U2" s="25" t="s">
        <v>262</v>
      </c>
    </row>
    <row r="3" spans="2:21" ht="42.75" x14ac:dyDescent="0.15">
      <c r="B3" s="11">
        <v>1</v>
      </c>
      <c r="C3" s="11" t="s">
        <v>25</v>
      </c>
      <c r="D3" s="11" t="s">
        <v>44</v>
      </c>
      <c r="E3" s="3" t="s">
        <v>27</v>
      </c>
      <c r="F3" s="3" t="s">
        <v>150</v>
      </c>
      <c r="G3" s="3" t="s">
        <v>136</v>
      </c>
      <c r="H3" s="3" t="s">
        <v>137</v>
      </c>
      <c r="I3" s="3" t="s">
        <v>881</v>
      </c>
      <c r="J3" s="3">
        <v>0</v>
      </c>
      <c r="K3" s="11" t="s">
        <v>870</v>
      </c>
      <c r="L3" s="11" t="s">
        <v>154</v>
      </c>
      <c r="M3" s="3" t="s">
        <v>830</v>
      </c>
      <c r="N3" s="3"/>
      <c r="O3" s="3" t="s">
        <v>840</v>
      </c>
      <c r="P3" s="3"/>
      <c r="Q3" s="3"/>
      <c r="R3" s="3"/>
      <c r="S3" s="3" t="s">
        <v>857</v>
      </c>
      <c r="T3" s="3" t="s">
        <v>253</v>
      </c>
      <c r="U3" s="35" t="s">
        <v>263</v>
      </c>
    </row>
    <row r="4" spans="2:21" ht="57" x14ac:dyDescent="0.15">
      <c r="B4" s="11">
        <v>2</v>
      </c>
      <c r="C4" s="11" t="s">
        <v>25</v>
      </c>
      <c r="D4" s="11" t="s">
        <v>45</v>
      </c>
      <c r="E4" s="3" t="s">
        <v>28</v>
      </c>
      <c r="F4" s="3" t="s">
        <v>113</v>
      </c>
      <c r="G4" s="3" t="s">
        <v>138</v>
      </c>
      <c r="H4" s="3" t="s">
        <v>137</v>
      </c>
      <c r="I4" s="3" t="s">
        <v>886</v>
      </c>
      <c r="J4" s="3" t="s">
        <v>893</v>
      </c>
      <c r="K4" s="11" t="s">
        <v>871</v>
      </c>
      <c r="L4" s="11" t="s">
        <v>154</v>
      </c>
      <c r="M4" s="3" t="s">
        <v>830</v>
      </c>
      <c r="N4" s="3"/>
      <c r="O4" s="3" t="s">
        <v>840</v>
      </c>
      <c r="P4" s="3"/>
      <c r="Q4" s="3" t="s">
        <v>853</v>
      </c>
      <c r="R4" s="3"/>
      <c r="S4" s="3" t="s">
        <v>857</v>
      </c>
      <c r="T4" s="3" t="s">
        <v>254</v>
      </c>
      <c r="U4" s="35" t="s">
        <v>264</v>
      </c>
    </row>
    <row r="5" spans="2:21" ht="57" x14ac:dyDescent="0.15">
      <c r="B5" s="11">
        <v>3</v>
      </c>
      <c r="C5" s="11" t="s">
        <v>25</v>
      </c>
      <c r="D5" s="11" t="s">
        <v>44</v>
      </c>
      <c r="E5" s="3" t="s">
        <v>29</v>
      </c>
      <c r="F5" s="3" t="s">
        <v>114</v>
      </c>
      <c r="G5" s="3" t="s">
        <v>140</v>
      </c>
      <c r="H5" s="3" t="s">
        <v>139</v>
      </c>
      <c r="I5" s="3" t="s">
        <v>887</v>
      </c>
      <c r="J5" s="3">
        <v>0</v>
      </c>
      <c r="K5" s="11" t="s">
        <v>872</v>
      </c>
      <c r="L5" s="11" t="s">
        <v>155</v>
      </c>
      <c r="M5" s="3" t="s">
        <v>831</v>
      </c>
      <c r="N5" s="3" t="s">
        <v>838</v>
      </c>
      <c r="O5" s="3" t="s">
        <v>841</v>
      </c>
      <c r="P5" s="3"/>
      <c r="Q5" s="3"/>
      <c r="R5" s="3"/>
      <c r="S5" s="3" t="s">
        <v>857</v>
      </c>
      <c r="T5" s="3" t="s">
        <v>255</v>
      </c>
      <c r="U5" s="35" t="s">
        <v>266</v>
      </c>
    </row>
    <row r="6" spans="2:21" ht="57" x14ac:dyDescent="0.15">
      <c r="B6" s="11">
        <v>4</v>
      </c>
      <c r="C6" s="11" t="s">
        <v>25</v>
      </c>
      <c r="D6" s="11" t="s">
        <v>45</v>
      </c>
      <c r="E6" s="3" t="s">
        <v>30</v>
      </c>
      <c r="F6" s="3" t="s">
        <v>115</v>
      </c>
      <c r="G6" s="3" t="s">
        <v>141</v>
      </c>
      <c r="H6" s="3" t="s">
        <v>139</v>
      </c>
      <c r="I6" s="3" t="s">
        <v>887</v>
      </c>
      <c r="J6" s="3" t="s">
        <v>894</v>
      </c>
      <c r="K6" s="11" t="s">
        <v>873</v>
      </c>
      <c r="L6" s="11" t="s">
        <v>155</v>
      </c>
      <c r="M6" s="3" t="s">
        <v>830</v>
      </c>
      <c r="N6" s="3" t="s">
        <v>839</v>
      </c>
      <c r="O6" s="3" t="s">
        <v>842</v>
      </c>
      <c r="P6" s="3"/>
      <c r="Q6" s="3" t="s">
        <v>854</v>
      </c>
      <c r="R6" s="3"/>
      <c r="S6" s="3" t="s">
        <v>858</v>
      </c>
      <c r="T6" s="3" t="s">
        <v>256</v>
      </c>
      <c r="U6" s="35" t="s">
        <v>265</v>
      </c>
    </row>
    <row r="7" spans="2:21" ht="42.75" x14ac:dyDescent="0.15">
      <c r="B7" s="11">
        <v>5</v>
      </c>
      <c r="C7" s="11" t="s">
        <v>25</v>
      </c>
      <c r="D7" s="11" t="s">
        <v>44</v>
      </c>
      <c r="E7" s="3" t="s">
        <v>272</v>
      </c>
      <c r="F7" s="3" t="s">
        <v>116</v>
      </c>
      <c r="G7" s="3" t="s">
        <v>142</v>
      </c>
      <c r="H7" s="3" t="s">
        <v>143</v>
      </c>
      <c r="I7" s="3" t="s">
        <v>888</v>
      </c>
      <c r="J7" s="3">
        <v>0</v>
      </c>
      <c r="K7" s="11" t="s">
        <v>874</v>
      </c>
      <c r="L7" s="3" t="s">
        <v>31</v>
      </c>
      <c r="M7" s="3" t="s">
        <v>832</v>
      </c>
      <c r="N7" s="3" t="s">
        <v>863</v>
      </c>
      <c r="O7" s="3" t="s">
        <v>859</v>
      </c>
      <c r="P7" s="3"/>
      <c r="Q7" s="3"/>
      <c r="R7" s="3"/>
      <c r="T7" s="3" t="s">
        <v>867</v>
      </c>
      <c r="U7" s="35" t="s">
        <v>271</v>
      </c>
    </row>
    <row r="8" spans="2:21" ht="42.75" x14ac:dyDescent="0.15">
      <c r="B8" s="11">
        <v>6</v>
      </c>
      <c r="C8" s="11" t="s">
        <v>25</v>
      </c>
      <c r="D8" s="11" t="s">
        <v>44</v>
      </c>
      <c r="E8" s="3" t="s">
        <v>216</v>
      </c>
      <c r="F8" s="3" t="s">
        <v>214</v>
      </c>
      <c r="G8" s="3">
        <v>0</v>
      </c>
      <c r="H8" s="3">
        <v>0</v>
      </c>
      <c r="I8" s="3" t="s">
        <v>889</v>
      </c>
      <c r="J8" s="3">
        <v>0</v>
      </c>
      <c r="K8" s="11" t="s">
        <v>875</v>
      </c>
      <c r="L8" s="3" t="s">
        <v>215</v>
      </c>
      <c r="M8" s="3" t="s">
        <v>833</v>
      </c>
      <c r="N8" s="3" t="s">
        <v>864</v>
      </c>
      <c r="O8" s="3" t="s">
        <v>865</v>
      </c>
      <c r="P8" s="59"/>
      <c r="R8" s="3"/>
      <c r="S8" s="3" t="s">
        <v>866</v>
      </c>
      <c r="T8" s="3"/>
      <c r="U8" s="34"/>
    </row>
    <row r="9" spans="2:21" ht="42.75" x14ac:dyDescent="0.15">
      <c r="B9" s="11">
        <v>7</v>
      </c>
      <c r="C9" s="11" t="s">
        <v>26</v>
      </c>
      <c r="D9" s="11" t="s">
        <v>45</v>
      </c>
      <c r="E9" s="3" t="s">
        <v>32</v>
      </c>
      <c r="F9" s="3" t="s">
        <v>117</v>
      </c>
      <c r="G9" s="3" t="s">
        <v>144</v>
      </c>
      <c r="H9" s="3" t="s">
        <v>145</v>
      </c>
      <c r="I9" s="3" t="s">
        <v>890</v>
      </c>
      <c r="J9" s="3">
        <v>0</v>
      </c>
      <c r="K9" s="11" t="s">
        <v>877</v>
      </c>
      <c r="L9" s="11" t="s">
        <v>876</v>
      </c>
      <c r="M9" s="3" t="s">
        <v>834</v>
      </c>
      <c r="N9" s="3"/>
      <c r="O9" s="3" t="s">
        <v>843</v>
      </c>
      <c r="P9" s="3" t="s">
        <v>847</v>
      </c>
      <c r="Q9" s="3"/>
      <c r="R9" s="3"/>
      <c r="S9" s="3" t="s">
        <v>860</v>
      </c>
      <c r="T9" s="3" t="s">
        <v>257</v>
      </c>
      <c r="U9" s="35" t="s">
        <v>267</v>
      </c>
    </row>
    <row r="10" spans="2:21" ht="57" x14ac:dyDescent="0.15">
      <c r="B10" s="11">
        <v>8</v>
      </c>
      <c r="C10" s="11" t="s">
        <v>26</v>
      </c>
      <c r="D10" s="11" t="s">
        <v>45</v>
      </c>
      <c r="E10" s="3" t="s">
        <v>33</v>
      </c>
      <c r="F10" s="3" t="s">
        <v>118</v>
      </c>
      <c r="G10" s="3" t="s">
        <v>146</v>
      </c>
      <c r="H10" s="3" t="s">
        <v>145</v>
      </c>
      <c r="I10" s="3" t="s">
        <v>891</v>
      </c>
      <c r="J10" s="3" t="s">
        <v>895</v>
      </c>
      <c r="K10" s="11" t="s">
        <v>878</v>
      </c>
      <c r="L10" s="11" t="s">
        <v>250</v>
      </c>
      <c r="M10" s="3" t="s">
        <v>835</v>
      </c>
      <c r="N10" s="3"/>
      <c r="O10" s="3" t="s">
        <v>844</v>
      </c>
      <c r="P10" s="3" t="s">
        <v>848</v>
      </c>
      <c r="Q10" s="3" t="s">
        <v>855</v>
      </c>
      <c r="R10" s="3" t="s">
        <v>851</v>
      </c>
      <c r="S10" s="3" t="s">
        <v>861</v>
      </c>
      <c r="T10" s="3" t="s">
        <v>258</v>
      </c>
      <c r="U10" s="35" t="s">
        <v>268</v>
      </c>
    </row>
    <row r="11" spans="2:21" ht="71.25" x14ac:dyDescent="0.15">
      <c r="B11" s="11">
        <v>9</v>
      </c>
      <c r="C11" s="11" t="s">
        <v>26</v>
      </c>
      <c r="D11" s="11" t="s">
        <v>44</v>
      </c>
      <c r="E11" s="3" t="s">
        <v>34</v>
      </c>
      <c r="F11" s="3" t="s">
        <v>119</v>
      </c>
      <c r="G11" s="3" t="s">
        <v>147</v>
      </c>
      <c r="H11" s="3" t="s">
        <v>148</v>
      </c>
      <c r="I11" s="3" t="s">
        <v>892</v>
      </c>
      <c r="J11" s="3">
        <v>0</v>
      </c>
      <c r="K11" s="11" t="s">
        <v>908</v>
      </c>
      <c r="L11" s="11" t="s">
        <v>249</v>
      </c>
      <c r="M11" s="3" t="s">
        <v>836</v>
      </c>
      <c r="N11" s="3"/>
      <c r="O11" s="3" t="s">
        <v>845</v>
      </c>
      <c r="P11" s="3" t="s">
        <v>849</v>
      </c>
      <c r="Q11" s="3"/>
      <c r="R11" s="3"/>
      <c r="S11" s="3" t="s">
        <v>862</v>
      </c>
      <c r="T11" s="3" t="s">
        <v>259</v>
      </c>
      <c r="U11" s="35" t="s">
        <v>270</v>
      </c>
    </row>
    <row r="12" spans="2:21" ht="85.5" x14ac:dyDescent="0.15">
      <c r="B12" s="11">
        <v>10</v>
      </c>
      <c r="C12" s="11" t="s">
        <v>26</v>
      </c>
      <c r="D12" s="11" t="s">
        <v>45</v>
      </c>
      <c r="E12" s="3" t="s">
        <v>930</v>
      </c>
      <c r="F12" s="3" t="s">
        <v>120</v>
      </c>
      <c r="G12" s="3" t="s">
        <v>147</v>
      </c>
      <c r="H12" s="3" t="s">
        <v>149</v>
      </c>
      <c r="I12" s="3" t="s">
        <v>892</v>
      </c>
      <c r="J12" s="3" t="s">
        <v>896</v>
      </c>
      <c r="K12" s="11" t="s">
        <v>880</v>
      </c>
      <c r="L12" s="11" t="s">
        <v>879</v>
      </c>
      <c r="M12" s="3" t="s">
        <v>837</v>
      </c>
      <c r="N12" s="3"/>
      <c r="O12" s="3" t="s">
        <v>846</v>
      </c>
      <c r="P12" s="3" t="s">
        <v>850</v>
      </c>
      <c r="Q12" s="3" t="s">
        <v>856</v>
      </c>
      <c r="R12" s="3" t="s">
        <v>852</v>
      </c>
      <c r="S12" s="3" t="s">
        <v>860</v>
      </c>
      <c r="T12" s="3" t="s">
        <v>260</v>
      </c>
      <c r="U12" s="35" t="s">
        <v>269</v>
      </c>
    </row>
    <row r="13" spans="2:21" ht="42.75" x14ac:dyDescent="0.15">
      <c r="B13" s="11">
        <v>11</v>
      </c>
      <c r="C13" s="11" t="s">
        <v>25</v>
      </c>
      <c r="D13" s="11" t="s">
        <v>901</v>
      </c>
      <c r="E13" s="3" t="s">
        <v>899</v>
      </c>
      <c r="F13" s="3" t="s">
        <v>897</v>
      </c>
      <c r="G13" s="3" t="s">
        <v>905</v>
      </c>
      <c r="H13" s="3">
        <v>0</v>
      </c>
      <c r="I13" s="3" t="s">
        <v>906</v>
      </c>
      <c r="J13" s="3" t="s">
        <v>907</v>
      </c>
      <c r="K13" s="11" t="s">
        <v>902</v>
      </c>
      <c r="L13" s="3" t="s">
        <v>903</v>
      </c>
      <c r="M13" s="3" t="s">
        <v>904</v>
      </c>
      <c r="N13" s="3" t="s">
        <v>921</v>
      </c>
      <c r="O13" s="3" t="s">
        <v>913</v>
      </c>
      <c r="P13" s="3"/>
      <c r="Q13" s="3" t="s">
        <v>914</v>
      </c>
      <c r="R13" s="3"/>
      <c r="S13" s="3" t="s">
        <v>922</v>
      </c>
      <c r="T13" s="3"/>
      <c r="U13" s="34"/>
    </row>
    <row r="14" spans="2:21" ht="42.75" x14ac:dyDescent="0.15">
      <c r="B14" s="11">
        <v>12</v>
      </c>
      <c r="C14" s="11" t="s">
        <v>25</v>
      </c>
      <c r="D14" s="11" t="s">
        <v>44</v>
      </c>
      <c r="E14" s="3" t="s">
        <v>900</v>
      </c>
      <c r="F14" s="3" t="s">
        <v>898</v>
      </c>
      <c r="G14" s="3" t="s">
        <v>920</v>
      </c>
      <c r="H14" s="3" t="s">
        <v>911</v>
      </c>
      <c r="I14" s="3" t="s">
        <v>919</v>
      </c>
      <c r="J14" s="3">
        <v>0</v>
      </c>
      <c r="K14" s="11" t="s">
        <v>909</v>
      </c>
      <c r="L14" s="3" t="s">
        <v>912</v>
      </c>
      <c r="M14" s="3" t="s">
        <v>915</v>
      </c>
      <c r="N14" s="3" t="s">
        <v>918</v>
      </c>
      <c r="O14" s="3" t="s">
        <v>916</v>
      </c>
      <c r="P14" s="60"/>
      <c r="Q14" s="3" t="s">
        <v>917</v>
      </c>
      <c r="R14" s="61"/>
      <c r="S14" s="3" t="s">
        <v>910</v>
      </c>
      <c r="T14" s="3"/>
      <c r="U14" s="34"/>
    </row>
    <row r="15" spans="2:21" ht="42.75" x14ac:dyDescent="0.15">
      <c r="B15" s="62">
        <v>13</v>
      </c>
      <c r="C15" s="11" t="s">
        <v>25</v>
      </c>
      <c r="D15" s="11" t="s">
        <v>45</v>
      </c>
      <c r="E15" s="3" t="s">
        <v>929</v>
      </c>
      <c r="F15" s="3" t="s">
        <v>926</v>
      </c>
      <c r="G15" s="3" t="s">
        <v>943</v>
      </c>
      <c r="H15" s="3" t="s">
        <v>941</v>
      </c>
      <c r="I15" s="3" t="s">
        <v>942</v>
      </c>
      <c r="J15" s="3">
        <v>0</v>
      </c>
      <c r="K15" s="11" t="s">
        <v>934</v>
      </c>
      <c r="L15" s="3" t="s">
        <v>929</v>
      </c>
      <c r="M15" s="3" t="s">
        <v>938</v>
      </c>
      <c r="N15" s="3"/>
      <c r="O15" s="3" t="s">
        <v>939</v>
      </c>
      <c r="P15" s="3" t="s">
        <v>953</v>
      </c>
      <c r="Q15" s="3"/>
      <c r="R15" s="3"/>
      <c r="S15" s="3" t="s">
        <v>940</v>
      </c>
      <c r="T15" s="3"/>
      <c r="U15" s="34"/>
    </row>
    <row r="16" spans="2:21" ht="57" x14ac:dyDescent="0.15">
      <c r="B16" s="62">
        <v>14</v>
      </c>
      <c r="C16" s="11" t="s">
        <v>25</v>
      </c>
      <c r="D16" s="11" t="s">
        <v>45</v>
      </c>
      <c r="E16" s="3" t="s">
        <v>931</v>
      </c>
      <c r="F16" s="3" t="s">
        <v>927</v>
      </c>
      <c r="G16" s="3" t="s">
        <v>944</v>
      </c>
      <c r="H16" s="3" t="s">
        <v>941</v>
      </c>
      <c r="I16" s="3" t="s">
        <v>946</v>
      </c>
      <c r="J16" s="3" t="s">
        <v>945</v>
      </c>
      <c r="K16" s="11" t="s">
        <v>935</v>
      </c>
      <c r="L16" s="3" t="s">
        <v>929</v>
      </c>
      <c r="M16" s="3" t="s">
        <v>955</v>
      </c>
      <c r="N16" s="3"/>
      <c r="O16" s="3" t="s">
        <v>939</v>
      </c>
      <c r="P16" s="3" t="s">
        <v>953</v>
      </c>
      <c r="Q16" s="3" t="s">
        <v>947</v>
      </c>
      <c r="R16" s="3" t="s">
        <v>954</v>
      </c>
      <c r="S16" s="3" t="s">
        <v>940</v>
      </c>
      <c r="T16" s="3"/>
      <c r="U16" s="34"/>
    </row>
    <row r="17" spans="2:21" ht="57" x14ac:dyDescent="0.15">
      <c r="B17" s="62">
        <v>15</v>
      </c>
      <c r="C17" s="11" t="s">
        <v>25</v>
      </c>
      <c r="D17" s="11" t="s">
        <v>45</v>
      </c>
      <c r="E17" s="3" t="s">
        <v>932</v>
      </c>
      <c r="F17" s="3" t="s">
        <v>928</v>
      </c>
      <c r="G17" s="3" t="s">
        <v>140</v>
      </c>
      <c r="H17" s="3" t="s">
        <v>139</v>
      </c>
      <c r="I17" s="3" t="s">
        <v>887</v>
      </c>
      <c r="J17" s="3">
        <v>0</v>
      </c>
      <c r="K17" s="11" t="s">
        <v>936</v>
      </c>
      <c r="L17" s="3" t="s">
        <v>932</v>
      </c>
      <c r="M17" s="3" t="s">
        <v>948</v>
      </c>
      <c r="N17" s="3" t="s">
        <v>949</v>
      </c>
      <c r="O17" s="3" t="s">
        <v>950</v>
      </c>
      <c r="P17" s="3"/>
      <c r="Q17" s="3"/>
      <c r="R17" s="3"/>
      <c r="S17" s="3" t="s">
        <v>951</v>
      </c>
      <c r="T17" s="3"/>
      <c r="U17" s="34"/>
    </row>
    <row r="18" spans="2:21" ht="57" x14ac:dyDescent="0.15">
      <c r="B18" s="62">
        <v>16</v>
      </c>
      <c r="C18" s="11" t="s">
        <v>25</v>
      </c>
      <c r="D18" s="11" t="s">
        <v>45</v>
      </c>
      <c r="E18" s="3" t="s">
        <v>933</v>
      </c>
      <c r="F18" s="3" t="s">
        <v>928</v>
      </c>
      <c r="G18" s="3" t="s">
        <v>141</v>
      </c>
      <c r="H18" s="3" t="s">
        <v>139</v>
      </c>
      <c r="I18" s="3" t="s">
        <v>887</v>
      </c>
      <c r="J18" s="3" t="s">
        <v>894</v>
      </c>
      <c r="K18" s="11" t="s">
        <v>937</v>
      </c>
      <c r="L18" s="3" t="s">
        <v>932</v>
      </c>
      <c r="M18" s="3" t="s">
        <v>948</v>
      </c>
      <c r="N18" s="3" t="s">
        <v>949</v>
      </c>
      <c r="O18" s="3" t="s">
        <v>950</v>
      </c>
      <c r="P18" s="3"/>
      <c r="Q18" s="3" t="s">
        <v>952</v>
      </c>
      <c r="R18" s="3"/>
      <c r="S18" s="3" t="s">
        <v>951</v>
      </c>
      <c r="T18" s="3"/>
      <c r="U18" s="34"/>
    </row>
    <row r="30" spans="2:21" x14ac:dyDescent="0.15">
      <c r="F30" s="10">
        <f>3.14159265/4*((2000+2*5)*(2000+2*5)-2000*2000)*6000</f>
        <v>188966797.89750001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X18"/>
  <sheetViews>
    <sheetView zoomScale="70" zoomScaleNormal="70" workbookViewId="0">
      <selection activeCell="M11" sqref="M11"/>
    </sheetView>
  </sheetViews>
  <sheetFormatPr defaultRowHeight="13.5" x14ac:dyDescent="0.15"/>
  <cols>
    <col min="1" max="1" width="3.375" customWidth="1"/>
    <col min="2" max="2" width="6" customWidth="1"/>
    <col min="3" max="3" width="33.875" customWidth="1"/>
    <col min="4" max="4" width="8.125" customWidth="1"/>
    <col min="5" max="5" width="7.625" customWidth="1"/>
    <col min="6" max="7" width="16.5" customWidth="1"/>
    <col min="8" max="8" width="9.875" customWidth="1"/>
    <col min="9" max="9" width="10.25" customWidth="1"/>
    <col min="10" max="11" width="9" customWidth="1"/>
    <col min="12" max="15" width="11.625" customWidth="1"/>
    <col min="16" max="16" width="18.375" customWidth="1"/>
    <col min="17" max="17" width="12.625" customWidth="1"/>
    <col min="18" max="22" width="11.625" customWidth="1"/>
  </cols>
  <sheetData>
    <row r="1" spans="2:24" ht="14.25" x14ac:dyDescent="0.15">
      <c r="B1">
        <v>13</v>
      </c>
      <c r="C1">
        <v>22</v>
      </c>
      <c r="G1" s="10" t="s">
        <v>868</v>
      </c>
      <c r="H1" s="10" t="s">
        <v>869</v>
      </c>
      <c r="I1" s="10" t="s">
        <v>882</v>
      </c>
      <c r="J1" s="10" t="s">
        <v>883</v>
      </c>
      <c r="K1" s="2"/>
      <c r="L1" s="2"/>
      <c r="M1" s="2" t="s">
        <v>1032</v>
      </c>
      <c r="N1" s="2" t="s">
        <v>1033</v>
      </c>
      <c r="O1" s="2" t="s">
        <v>1034</v>
      </c>
      <c r="P1" s="2" t="s">
        <v>1035</v>
      </c>
      <c r="Q1" s="2" t="s">
        <v>1036</v>
      </c>
      <c r="R1" s="2" t="s">
        <v>1037</v>
      </c>
      <c r="S1" s="2" t="s">
        <v>1038</v>
      </c>
      <c r="T1" s="2" t="s">
        <v>1039</v>
      </c>
      <c r="U1" s="2" t="s">
        <v>1040</v>
      </c>
      <c r="V1" s="2" t="s">
        <v>1041</v>
      </c>
    </row>
    <row r="2" spans="2:24" s="27" customFormat="1" ht="32.1" customHeight="1" x14ac:dyDescent="0.15">
      <c r="B2" s="26" t="s">
        <v>12</v>
      </c>
      <c r="C2" s="26" t="s">
        <v>48</v>
      </c>
      <c r="D2" s="26" t="s">
        <v>49</v>
      </c>
      <c r="E2" s="26" t="s">
        <v>181</v>
      </c>
      <c r="F2" s="26" t="s">
        <v>182</v>
      </c>
      <c r="G2" s="12" t="s">
        <v>46</v>
      </c>
      <c r="H2" s="12" t="s">
        <v>47</v>
      </c>
      <c r="I2" s="12" t="s">
        <v>884</v>
      </c>
      <c r="J2" s="12" t="s">
        <v>885</v>
      </c>
      <c r="K2" s="11" t="s">
        <v>156</v>
      </c>
      <c r="L2" s="11" t="s">
        <v>193</v>
      </c>
      <c r="M2" s="11" t="s">
        <v>202</v>
      </c>
      <c r="N2" s="11" t="s">
        <v>194</v>
      </c>
      <c r="O2" s="11" t="s">
        <v>195</v>
      </c>
      <c r="P2" s="11" t="s">
        <v>1002</v>
      </c>
      <c r="Q2" s="11" t="s">
        <v>196</v>
      </c>
      <c r="R2" s="11" t="s">
        <v>197</v>
      </c>
      <c r="S2" s="11" t="s">
        <v>198</v>
      </c>
      <c r="T2" s="11" t="s">
        <v>199</v>
      </c>
      <c r="U2" s="11" t="s">
        <v>200</v>
      </c>
      <c r="V2" s="11" t="s">
        <v>201</v>
      </c>
      <c r="W2" s="25" t="s">
        <v>180</v>
      </c>
      <c r="X2" s="25" t="s">
        <v>262</v>
      </c>
    </row>
    <row r="3" spans="2:24" s="27" customFormat="1" ht="32.1" customHeight="1" x14ac:dyDescent="0.15">
      <c r="B3" s="26">
        <v>1</v>
      </c>
      <c r="C3" s="11" t="s">
        <v>965</v>
      </c>
      <c r="D3" s="26" t="s">
        <v>112</v>
      </c>
      <c r="E3" s="26"/>
      <c r="F3" s="26" t="s">
        <v>186</v>
      </c>
      <c r="G3" s="12" t="s">
        <v>217</v>
      </c>
      <c r="H3" s="12">
        <v>0</v>
      </c>
      <c r="I3" s="12" t="s">
        <v>957</v>
      </c>
      <c r="J3" s="12">
        <v>0</v>
      </c>
      <c r="K3" s="11" t="s">
        <v>218</v>
      </c>
      <c r="L3" s="11" t="s">
        <v>204</v>
      </c>
      <c r="M3" s="17"/>
      <c r="N3" s="17" t="s">
        <v>971</v>
      </c>
      <c r="O3" s="11" t="s">
        <v>972</v>
      </c>
      <c r="P3" s="11" t="s">
        <v>973</v>
      </c>
      <c r="Q3" s="11" t="s">
        <v>1048</v>
      </c>
      <c r="R3" s="11"/>
      <c r="S3" s="11"/>
      <c r="T3" s="11"/>
      <c r="U3" s="11"/>
      <c r="V3" s="11"/>
      <c r="W3" s="28"/>
      <c r="X3" s="28"/>
    </row>
    <row r="4" spans="2:24" s="27" customFormat="1" ht="32.1" customHeight="1" x14ac:dyDescent="0.15">
      <c r="B4" s="26">
        <v>2</v>
      </c>
      <c r="C4" s="11" t="s">
        <v>965</v>
      </c>
      <c r="D4" s="26" t="s">
        <v>111</v>
      </c>
      <c r="E4" s="26"/>
      <c r="F4" s="26" t="s">
        <v>185</v>
      </c>
      <c r="G4" s="11" t="s">
        <v>221</v>
      </c>
      <c r="H4" s="11" t="s">
        <v>219</v>
      </c>
      <c r="I4" s="12" t="s">
        <v>958</v>
      </c>
      <c r="J4" s="11" t="s">
        <v>961</v>
      </c>
      <c r="K4" s="29" t="s">
        <v>220</v>
      </c>
      <c r="L4" s="11" t="s">
        <v>204</v>
      </c>
      <c r="M4" s="17" t="s">
        <v>974</v>
      </c>
      <c r="N4" s="11" t="s">
        <v>975</v>
      </c>
      <c r="O4" s="11" t="s">
        <v>976</v>
      </c>
      <c r="P4" s="11" t="s">
        <v>977</v>
      </c>
      <c r="Q4" s="11" t="s">
        <v>1049</v>
      </c>
      <c r="R4" s="11" t="s">
        <v>1056</v>
      </c>
      <c r="S4" s="11" t="s">
        <v>978</v>
      </c>
      <c r="T4" s="11" t="s">
        <v>1053</v>
      </c>
      <c r="U4" s="11"/>
      <c r="V4" s="11"/>
      <c r="W4" s="28"/>
      <c r="X4" s="28"/>
    </row>
    <row r="5" spans="2:24" s="27" customFormat="1" ht="32.1" customHeight="1" x14ac:dyDescent="0.15">
      <c r="B5" s="63">
        <v>3</v>
      </c>
      <c r="C5" s="11" t="s">
        <v>966</v>
      </c>
      <c r="D5" s="26" t="s">
        <v>108</v>
      </c>
      <c r="E5" s="26"/>
      <c r="F5" s="26" t="s">
        <v>183</v>
      </c>
      <c r="G5" s="11" t="s">
        <v>222</v>
      </c>
      <c r="H5" s="11" t="s">
        <v>219</v>
      </c>
      <c r="I5" s="12" t="s">
        <v>959</v>
      </c>
      <c r="J5" s="11">
        <v>0</v>
      </c>
      <c r="K5" s="29" t="s">
        <v>220</v>
      </c>
      <c r="L5" s="11" t="s">
        <v>204</v>
      </c>
      <c r="M5" s="11"/>
      <c r="N5" s="11" t="s">
        <v>979</v>
      </c>
      <c r="O5" s="11" t="s">
        <v>980</v>
      </c>
      <c r="P5" s="11" t="s">
        <v>981</v>
      </c>
      <c r="Q5" s="11" t="s">
        <v>1050</v>
      </c>
      <c r="R5" s="11" t="s">
        <v>1057</v>
      </c>
      <c r="S5" s="11" t="s">
        <v>982</v>
      </c>
      <c r="T5" s="11" t="s">
        <v>1054</v>
      </c>
      <c r="U5" s="11"/>
      <c r="V5" s="11"/>
      <c r="W5" s="28"/>
      <c r="X5" s="28"/>
    </row>
    <row r="6" spans="2:24" s="27" customFormat="1" ht="32.1" customHeight="1" x14ac:dyDescent="0.15">
      <c r="B6" s="63">
        <v>4</v>
      </c>
      <c r="C6" s="11" t="s">
        <v>966</v>
      </c>
      <c r="D6" s="26" t="s">
        <v>109</v>
      </c>
      <c r="E6" s="26"/>
      <c r="F6" s="26" t="s">
        <v>184</v>
      </c>
      <c r="G6" s="11" t="s">
        <v>222</v>
      </c>
      <c r="H6" s="26">
        <v>0</v>
      </c>
      <c r="I6" s="12" t="s">
        <v>959</v>
      </c>
      <c r="J6" s="26">
        <v>0</v>
      </c>
      <c r="K6" s="29" t="s">
        <v>220</v>
      </c>
      <c r="L6" s="11" t="s">
        <v>204</v>
      </c>
      <c r="M6" s="11"/>
      <c r="N6" s="11" t="s">
        <v>983</v>
      </c>
      <c r="O6" s="11" t="s">
        <v>984</v>
      </c>
      <c r="P6" s="11" t="s">
        <v>985</v>
      </c>
      <c r="Q6" s="11" t="s">
        <v>1051</v>
      </c>
      <c r="R6" s="11" t="s">
        <v>1058</v>
      </c>
      <c r="S6" s="11" t="s">
        <v>986</v>
      </c>
      <c r="T6" s="11" t="s">
        <v>1055</v>
      </c>
      <c r="U6" s="11" t="s">
        <v>987</v>
      </c>
      <c r="V6" s="11" t="s">
        <v>988</v>
      </c>
      <c r="W6" s="28"/>
      <c r="X6" s="28"/>
    </row>
    <row r="7" spans="2:24" s="27" customFormat="1" ht="32.1" customHeight="1" x14ac:dyDescent="0.15">
      <c r="B7" s="63">
        <v>5</v>
      </c>
      <c r="C7" s="11" t="s">
        <v>203</v>
      </c>
      <c r="D7" s="26" t="s">
        <v>191</v>
      </c>
      <c r="E7" s="26"/>
      <c r="F7" s="26" t="s">
        <v>192</v>
      </c>
      <c r="G7" s="11" t="s">
        <v>223</v>
      </c>
      <c r="H7" s="26">
        <v>0</v>
      </c>
      <c r="I7" s="12" t="s">
        <v>960</v>
      </c>
      <c r="J7" s="26">
        <v>0</v>
      </c>
      <c r="K7" s="29" t="s">
        <v>220</v>
      </c>
      <c r="L7" s="11" t="s">
        <v>204</v>
      </c>
      <c r="M7" s="11"/>
      <c r="N7" s="11" t="s">
        <v>989</v>
      </c>
      <c r="O7" s="11" t="s">
        <v>990</v>
      </c>
      <c r="P7" s="11" t="s">
        <v>991</v>
      </c>
      <c r="Q7" s="11" t="s">
        <v>1052</v>
      </c>
      <c r="R7" s="11" t="s">
        <v>1059</v>
      </c>
      <c r="S7" s="11"/>
      <c r="T7" s="11"/>
      <c r="U7" s="11"/>
      <c r="V7" s="11"/>
      <c r="W7" s="28"/>
      <c r="X7" s="28"/>
    </row>
    <row r="8" spans="2:24" s="27" customFormat="1" ht="32.1" customHeight="1" x14ac:dyDescent="0.15">
      <c r="B8" s="63">
        <v>6</v>
      </c>
      <c r="C8" s="11" t="s">
        <v>965</v>
      </c>
      <c r="D8" s="26"/>
      <c r="E8" s="26" t="s">
        <v>1007</v>
      </c>
      <c r="F8" s="26" t="s">
        <v>187</v>
      </c>
      <c r="G8" s="26">
        <v>0</v>
      </c>
      <c r="H8" s="11" t="s">
        <v>224</v>
      </c>
      <c r="I8" s="26">
        <v>0</v>
      </c>
      <c r="J8" s="11" t="s">
        <v>962</v>
      </c>
      <c r="K8" s="28"/>
      <c r="L8" s="11" t="s">
        <v>205</v>
      </c>
      <c r="M8" s="11" t="s">
        <v>992</v>
      </c>
      <c r="N8" s="11" t="s">
        <v>993</v>
      </c>
      <c r="O8" s="11"/>
      <c r="P8" s="11"/>
      <c r="Q8" s="11"/>
      <c r="R8" s="28"/>
      <c r="S8" s="11"/>
      <c r="T8" s="11"/>
      <c r="U8" s="11"/>
      <c r="V8" s="11"/>
      <c r="W8" s="28"/>
      <c r="X8" s="28"/>
    </row>
    <row r="9" spans="2:24" s="27" customFormat="1" ht="32.1" customHeight="1" x14ac:dyDescent="0.15">
      <c r="B9" s="65">
        <v>7</v>
      </c>
      <c r="C9" s="11" t="s">
        <v>965</v>
      </c>
      <c r="D9" s="63"/>
      <c r="E9" s="63" t="s">
        <v>1008</v>
      </c>
      <c r="F9" s="63" t="s">
        <v>187</v>
      </c>
      <c r="G9" s="67">
        <v>0</v>
      </c>
      <c r="H9" s="11" t="s">
        <v>1042</v>
      </c>
      <c r="I9" s="67">
        <v>0</v>
      </c>
      <c r="J9" s="11" t="s">
        <v>1043</v>
      </c>
      <c r="K9" s="28"/>
      <c r="L9" s="11" t="s">
        <v>205</v>
      </c>
      <c r="M9" s="28"/>
      <c r="N9" s="28"/>
      <c r="O9" s="11" t="s">
        <v>992</v>
      </c>
      <c r="P9" s="11"/>
      <c r="Q9" s="11"/>
      <c r="R9" s="11" t="s">
        <v>993</v>
      </c>
      <c r="S9" s="11"/>
      <c r="T9" s="11"/>
      <c r="U9" s="11"/>
      <c r="V9" s="11"/>
      <c r="W9" s="28"/>
      <c r="X9" s="28"/>
    </row>
    <row r="10" spans="2:24" s="27" customFormat="1" ht="32.1" customHeight="1" x14ac:dyDescent="0.15">
      <c r="B10" s="65">
        <v>8</v>
      </c>
      <c r="C10" s="11" t="s">
        <v>1023</v>
      </c>
      <c r="D10" s="26"/>
      <c r="E10" s="26" t="s">
        <v>1009</v>
      </c>
      <c r="F10" s="26" t="s">
        <v>188</v>
      </c>
      <c r="G10" s="67">
        <v>0</v>
      </c>
      <c r="H10" s="11" t="s">
        <v>225</v>
      </c>
      <c r="I10" s="67">
        <v>0</v>
      </c>
      <c r="J10" s="11" t="s">
        <v>963</v>
      </c>
      <c r="K10" s="28"/>
      <c r="L10" s="11" t="s">
        <v>205</v>
      </c>
      <c r="M10" s="11" t="s">
        <v>994</v>
      </c>
      <c r="N10" s="28"/>
      <c r="O10" s="28"/>
      <c r="P10" s="11" t="s">
        <v>995</v>
      </c>
      <c r="Q10" s="11"/>
      <c r="R10" s="28"/>
      <c r="S10" s="11" t="s">
        <v>996</v>
      </c>
      <c r="T10" s="11"/>
      <c r="U10" s="11"/>
      <c r="V10" s="11"/>
      <c r="W10" s="28"/>
      <c r="X10" s="28"/>
    </row>
    <row r="11" spans="2:24" s="27" customFormat="1" ht="32.1" customHeight="1" x14ac:dyDescent="0.15">
      <c r="B11" s="65">
        <v>9</v>
      </c>
      <c r="C11" s="11" t="s">
        <v>1024</v>
      </c>
      <c r="D11" s="65"/>
      <c r="E11" s="65" t="s">
        <v>65</v>
      </c>
      <c r="F11" s="65" t="s">
        <v>1021</v>
      </c>
      <c r="G11" s="67">
        <v>0</v>
      </c>
      <c r="H11" s="11" t="s">
        <v>225</v>
      </c>
      <c r="I11" s="67">
        <v>0</v>
      </c>
      <c r="J11" s="11" t="s">
        <v>1044</v>
      </c>
      <c r="K11" s="28"/>
      <c r="L11" s="11" t="s">
        <v>205</v>
      </c>
      <c r="M11" s="11" t="s">
        <v>994</v>
      </c>
      <c r="N11" s="28"/>
      <c r="O11" s="28"/>
      <c r="P11" s="11" t="s">
        <v>995</v>
      </c>
      <c r="Q11" s="11"/>
      <c r="R11" s="28"/>
      <c r="S11" s="11" t="s">
        <v>1025</v>
      </c>
      <c r="T11" s="11" t="s">
        <v>1026</v>
      </c>
      <c r="U11" s="11"/>
      <c r="V11" s="11"/>
      <c r="W11" s="28"/>
      <c r="X11" s="28"/>
    </row>
    <row r="12" spans="2:24" s="27" customFormat="1" ht="32.1" customHeight="1" x14ac:dyDescent="0.15">
      <c r="B12" s="65">
        <v>10</v>
      </c>
      <c r="C12" s="11" t="s">
        <v>966</v>
      </c>
      <c r="D12" s="63"/>
      <c r="E12" s="63" t="s">
        <v>1010</v>
      </c>
      <c r="F12" s="63" t="s">
        <v>1020</v>
      </c>
      <c r="G12" s="67">
        <v>0</v>
      </c>
      <c r="H12" s="11" t="s">
        <v>1042</v>
      </c>
      <c r="I12" s="67">
        <v>0</v>
      </c>
      <c r="J12" s="11" t="s">
        <v>1045</v>
      </c>
      <c r="K12" s="28"/>
      <c r="L12" s="11" t="s">
        <v>205</v>
      </c>
      <c r="M12" s="11"/>
      <c r="N12" s="11" t="s">
        <v>995</v>
      </c>
      <c r="O12" s="11" t="s">
        <v>994</v>
      </c>
      <c r="P12" s="11"/>
      <c r="Q12" s="11"/>
      <c r="R12" s="11" t="s">
        <v>996</v>
      </c>
      <c r="S12" s="11"/>
      <c r="T12" s="11"/>
      <c r="U12" s="11"/>
      <c r="V12" s="11"/>
      <c r="W12" s="28"/>
      <c r="X12" s="28"/>
    </row>
    <row r="13" spans="2:24" s="27" customFormat="1" ht="32.1" customHeight="1" x14ac:dyDescent="0.15">
      <c r="B13" s="65">
        <v>11</v>
      </c>
      <c r="C13" s="11" t="s">
        <v>1023</v>
      </c>
      <c r="D13" s="26"/>
      <c r="E13" s="26" t="s">
        <v>71</v>
      </c>
      <c r="F13" s="26" t="s">
        <v>189</v>
      </c>
      <c r="G13" s="67">
        <v>0</v>
      </c>
      <c r="H13" s="11" t="s">
        <v>1046</v>
      </c>
      <c r="I13" s="67">
        <v>0</v>
      </c>
      <c r="J13" s="11" t="s">
        <v>1047</v>
      </c>
      <c r="K13" s="28"/>
      <c r="L13" s="11" t="s">
        <v>205</v>
      </c>
      <c r="M13" s="11" t="s">
        <v>1011</v>
      </c>
      <c r="N13" s="28"/>
      <c r="O13" s="28"/>
      <c r="P13" s="11" t="s">
        <v>1017</v>
      </c>
      <c r="Q13" s="11" t="s">
        <v>1018</v>
      </c>
      <c r="R13" s="28"/>
      <c r="S13" s="11" t="s">
        <v>1019</v>
      </c>
      <c r="U13" s="11"/>
      <c r="V13" s="11"/>
      <c r="W13" s="28"/>
      <c r="X13" s="28"/>
    </row>
    <row r="14" spans="2:24" s="27" customFormat="1" ht="32.1" customHeight="1" x14ac:dyDescent="0.15">
      <c r="B14" s="65">
        <v>12</v>
      </c>
      <c r="C14" s="11" t="s">
        <v>1024</v>
      </c>
      <c r="D14" s="65"/>
      <c r="E14" s="65" t="s">
        <v>71</v>
      </c>
      <c r="F14" s="65" t="s">
        <v>1022</v>
      </c>
      <c r="G14" s="67">
        <v>0</v>
      </c>
      <c r="H14" s="11" t="s">
        <v>1046</v>
      </c>
      <c r="I14" s="67">
        <v>0</v>
      </c>
      <c r="J14" s="11" t="s">
        <v>1047</v>
      </c>
      <c r="K14" s="28"/>
      <c r="L14" s="11" t="s">
        <v>205</v>
      </c>
      <c r="M14" s="11" t="s">
        <v>1028</v>
      </c>
      <c r="N14" s="28"/>
      <c r="O14" s="28"/>
      <c r="P14" s="11" t="s">
        <v>1029</v>
      </c>
      <c r="Q14" s="11" t="s">
        <v>1030</v>
      </c>
      <c r="S14" s="11" t="s">
        <v>1027</v>
      </c>
      <c r="T14" s="11" t="s">
        <v>1031</v>
      </c>
      <c r="U14" s="11"/>
      <c r="V14" s="11"/>
      <c r="W14" s="28"/>
      <c r="X14" s="28"/>
    </row>
    <row r="15" spans="2:24" s="27" customFormat="1" ht="32.1" customHeight="1" x14ac:dyDescent="0.15">
      <c r="B15" s="65">
        <v>13</v>
      </c>
      <c r="C15" s="11" t="s">
        <v>965</v>
      </c>
      <c r="D15" s="26"/>
      <c r="E15" s="26" t="s">
        <v>110</v>
      </c>
      <c r="F15" s="26" t="s">
        <v>190</v>
      </c>
      <c r="G15" s="67">
        <v>0</v>
      </c>
      <c r="H15" s="11" t="s">
        <v>226</v>
      </c>
      <c r="I15" s="67">
        <v>0</v>
      </c>
      <c r="J15" s="11" t="s">
        <v>964</v>
      </c>
      <c r="K15" s="28"/>
      <c r="L15" s="11" t="s">
        <v>205</v>
      </c>
      <c r="M15" s="11" t="s">
        <v>997</v>
      </c>
      <c r="N15" s="11" t="s">
        <v>998</v>
      </c>
      <c r="O15" s="11" t="s">
        <v>999</v>
      </c>
      <c r="P15" s="11" t="s">
        <v>1000</v>
      </c>
      <c r="Q15" s="11" t="s">
        <v>1001</v>
      </c>
      <c r="R15" s="28"/>
      <c r="S15" s="11"/>
      <c r="T15" s="11"/>
      <c r="U15" s="11"/>
      <c r="V15" s="11"/>
      <c r="W15" s="28"/>
      <c r="X15" s="28"/>
    </row>
    <row r="16" spans="2:24" x14ac:dyDescent="0.15">
      <c r="L16" s="64" t="s">
        <v>1013</v>
      </c>
      <c r="M16" s="11" t="s">
        <v>1016</v>
      </c>
      <c r="N16" s="11" t="s">
        <v>1012</v>
      </c>
      <c r="O16" s="11"/>
      <c r="P16" s="11"/>
      <c r="Q16" s="11"/>
      <c r="R16" s="28"/>
      <c r="S16" s="11"/>
      <c r="T16" s="11"/>
    </row>
    <row r="17" spans="12:20" x14ac:dyDescent="0.15">
      <c r="L17" s="64" t="s">
        <v>1014</v>
      </c>
      <c r="M17" s="29" t="s">
        <v>206</v>
      </c>
      <c r="N17" s="29" t="s">
        <v>1003</v>
      </c>
      <c r="O17" s="29" t="s">
        <v>1004</v>
      </c>
      <c r="P17" s="29" t="s">
        <v>1005</v>
      </c>
      <c r="Q17" s="29" t="s">
        <v>1006</v>
      </c>
      <c r="R17" s="29" t="s">
        <v>207</v>
      </c>
      <c r="S17" s="29" t="s">
        <v>208</v>
      </c>
      <c r="T17" s="29" t="s">
        <v>1012</v>
      </c>
    </row>
    <row r="18" spans="12:20" x14ac:dyDescent="0.15">
      <c r="L18" s="64" t="s">
        <v>1015</v>
      </c>
      <c r="M18" s="66" t="s">
        <v>209</v>
      </c>
      <c r="N18" s="66" t="s">
        <v>210</v>
      </c>
      <c r="O18" s="66" t="s">
        <v>211</v>
      </c>
      <c r="P18" s="66" t="s">
        <v>212</v>
      </c>
      <c r="Q18" s="66" t="s">
        <v>213</v>
      </c>
      <c r="R18" s="34"/>
      <c r="S18" s="34"/>
      <c r="T18" s="34"/>
    </row>
  </sheetData>
  <sortState ref="D3:F7">
    <sortCondition ref="F3:F7"/>
  </sortState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N52"/>
  <sheetViews>
    <sheetView topLeftCell="A4" zoomScaleNormal="100" workbookViewId="0">
      <selection activeCell="G25" sqref="G25"/>
    </sheetView>
  </sheetViews>
  <sheetFormatPr defaultRowHeight="13.5" x14ac:dyDescent="0.15"/>
  <cols>
    <col min="1" max="1" width="3.625" customWidth="1"/>
    <col min="2" max="2" width="6" customWidth="1"/>
    <col min="3" max="3" width="17.625" customWidth="1"/>
    <col min="4" max="4" width="13.25" customWidth="1"/>
    <col min="5" max="5" width="7.875" customWidth="1"/>
    <col min="6" max="6" width="9.75" customWidth="1"/>
    <col min="7" max="7" width="10.75" customWidth="1"/>
    <col min="8" max="8" width="6.375" customWidth="1"/>
    <col min="9" max="10" width="11" customWidth="1"/>
    <col min="12" max="12" width="11.5" customWidth="1"/>
    <col min="13" max="13" width="25.25" customWidth="1"/>
    <col min="14" max="14" width="22.875" customWidth="1"/>
    <col min="15" max="15" width="17.875" customWidth="1"/>
    <col min="16" max="16" width="16.125" customWidth="1"/>
  </cols>
  <sheetData>
    <row r="2" spans="2:14" x14ac:dyDescent="0.15">
      <c r="B2" s="5" t="s">
        <v>12</v>
      </c>
      <c r="C2" s="5" t="s">
        <v>48</v>
      </c>
      <c r="D2" s="5" t="s">
        <v>49</v>
      </c>
      <c r="E2" s="86" t="s">
        <v>50</v>
      </c>
      <c r="F2" s="87"/>
      <c r="G2" s="86" t="s">
        <v>51</v>
      </c>
      <c r="H2" s="87"/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</row>
    <row r="3" spans="2:14" x14ac:dyDescent="0.15">
      <c r="B3" s="5">
        <v>1</v>
      </c>
      <c r="C3" s="5" t="s">
        <v>58</v>
      </c>
      <c r="D3" s="5" t="s">
        <v>59</v>
      </c>
      <c r="E3" s="5" t="s">
        <v>60</v>
      </c>
      <c r="F3" s="5" t="s">
        <v>61</v>
      </c>
      <c r="G3" s="5" t="s">
        <v>62</v>
      </c>
      <c r="H3" s="5" t="s">
        <v>63</v>
      </c>
      <c r="I3" s="5" t="s">
        <v>78</v>
      </c>
      <c r="J3" s="5"/>
      <c r="K3" s="5"/>
      <c r="L3" s="5"/>
      <c r="M3" s="5"/>
      <c r="N3" s="5"/>
    </row>
    <row r="4" spans="2:14" x14ac:dyDescent="0.15">
      <c r="B4" s="5">
        <v>2</v>
      </c>
      <c r="C4" s="5" t="s">
        <v>58</v>
      </c>
      <c r="D4" s="5" t="s">
        <v>59</v>
      </c>
      <c r="E4" s="5" t="s">
        <v>60</v>
      </c>
      <c r="F4" s="5" t="s">
        <v>61</v>
      </c>
      <c r="G4" s="5" t="s">
        <v>64</v>
      </c>
      <c r="H4" s="5" t="s">
        <v>65</v>
      </c>
      <c r="I4" s="5" t="s">
        <v>79</v>
      </c>
      <c r="J4" s="5"/>
      <c r="K4" s="5"/>
      <c r="L4" s="5"/>
      <c r="M4" s="5"/>
      <c r="N4" s="5"/>
    </row>
    <row r="5" spans="2:14" x14ac:dyDescent="0.15">
      <c r="B5" s="5">
        <v>3</v>
      </c>
      <c r="C5" s="5" t="s">
        <v>58</v>
      </c>
      <c r="D5" s="5" t="s">
        <v>59</v>
      </c>
      <c r="E5" s="5" t="s">
        <v>60</v>
      </c>
      <c r="F5" s="5" t="s">
        <v>61</v>
      </c>
      <c r="G5" s="5" t="s">
        <v>66</v>
      </c>
      <c r="H5" s="5" t="s">
        <v>67</v>
      </c>
      <c r="I5" s="5" t="s">
        <v>80</v>
      </c>
      <c r="J5" s="5"/>
      <c r="K5" s="5"/>
      <c r="L5" s="5"/>
      <c r="M5" s="5"/>
      <c r="N5" s="5"/>
    </row>
    <row r="6" spans="2:14" x14ac:dyDescent="0.15">
      <c r="B6" s="5">
        <v>4</v>
      </c>
      <c r="C6" s="5" t="s">
        <v>58</v>
      </c>
      <c r="D6" s="5" t="s">
        <v>59</v>
      </c>
      <c r="E6" s="5" t="s">
        <v>60</v>
      </c>
      <c r="F6" s="5" t="s">
        <v>61</v>
      </c>
      <c r="G6" s="5" t="s">
        <v>68</v>
      </c>
      <c r="H6" s="5" t="s">
        <v>69</v>
      </c>
      <c r="I6" s="5" t="s">
        <v>81</v>
      </c>
      <c r="J6" s="5"/>
      <c r="K6" s="5"/>
      <c r="L6" s="5"/>
      <c r="M6" s="5"/>
      <c r="N6" s="5"/>
    </row>
    <row r="7" spans="2:14" x14ac:dyDescent="0.15">
      <c r="B7" s="5">
        <v>5</v>
      </c>
      <c r="C7" s="5" t="s">
        <v>58</v>
      </c>
      <c r="D7" s="5" t="s">
        <v>59</v>
      </c>
      <c r="E7" s="5" t="s">
        <v>60</v>
      </c>
      <c r="F7" s="5" t="s">
        <v>61</v>
      </c>
      <c r="G7" s="5" t="s">
        <v>70</v>
      </c>
      <c r="H7" s="5" t="s">
        <v>71</v>
      </c>
      <c r="I7" s="5" t="s">
        <v>82</v>
      </c>
      <c r="J7" s="5"/>
      <c r="K7" s="5"/>
      <c r="L7" s="5"/>
      <c r="M7" s="5"/>
      <c r="N7" s="5"/>
    </row>
    <row r="8" spans="2:14" x14ac:dyDescent="0.15">
      <c r="B8" s="5">
        <v>6</v>
      </c>
      <c r="C8" s="5" t="s">
        <v>58</v>
      </c>
      <c r="D8" s="5" t="s">
        <v>59</v>
      </c>
      <c r="E8" s="5" t="s">
        <v>72</v>
      </c>
      <c r="F8" s="5" t="s">
        <v>73</v>
      </c>
      <c r="G8" s="5" t="s">
        <v>62</v>
      </c>
      <c r="H8" s="5" t="s">
        <v>63</v>
      </c>
      <c r="I8" s="5" t="s">
        <v>83</v>
      </c>
      <c r="J8" s="5"/>
      <c r="K8" s="5"/>
      <c r="L8" s="5"/>
      <c r="M8" s="5"/>
      <c r="N8" s="5"/>
    </row>
    <row r="9" spans="2:14" x14ac:dyDescent="0.15">
      <c r="B9" s="5">
        <v>7</v>
      </c>
      <c r="C9" s="5" t="s">
        <v>58</v>
      </c>
      <c r="D9" s="5" t="s">
        <v>59</v>
      </c>
      <c r="E9" s="5" t="s">
        <v>72</v>
      </c>
      <c r="F9" s="5" t="s">
        <v>73</v>
      </c>
      <c r="G9" s="5" t="s">
        <v>64</v>
      </c>
      <c r="H9" s="5" t="s">
        <v>65</v>
      </c>
      <c r="I9" s="5" t="s">
        <v>84</v>
      </c>
      <c r="J9" s="5"/>
      <c r="K9" s="5"/>
      <c r="L9" s="5"/>
      <c r="M9" s="5"/>
      <c r="N9" s="5"/>
    </row>
    <row r="10" spans="2:14" x14ac:dyDescent="0.15">
      <c r="B10" s="5">
        <v>8</v>
      </c>
      <c r="C10" s="5" t="s">
        <v>58</v>
      </c>
      <c r="D10" s="5" t="s">
        <v>59</v>
      </c>
      <c r="E10" s="5" t="s">
        <v>72</v>
      </c>
      <c r="F10" s="5" t="s">
        <v>73</v>
      </c>
      <c r="G10" s="5" t="s">
        <v>66</v>
      </c>
      <c r="H10" s="5" t="s">
        <v>67</v>
      </c>
      <c r="I10" s="5" t="s">
        <v>85</v>
      </c>
      <c r="J10" s="5"/>
      <c r="K10" s="5"/>
      <c r="L10" s="5"/>
      <c r="M10" s="5"/>
      <c r="N10" s="5"/>
    </row>
    <row r="11" spans="2:14" x14ac:dyDescent="0.15">
      <c r="B11" s="5">
        <v>9</v>
      </c>
      <c r="C11" s="5" t="s">
        <v>58</v>
      </c>
      <c r="D11" s="5" t="s">
        <v>59</v>
      </c>
      <c r="E11" s="5" t="s">
        <v>72</v>
      </c>
      <c r="F11" s="5" t="s">
        <v>73</v>
      </c>
      <c r="G11" s="5" t="s">
        <v>68</v>
      </c>
      <c r="H11" s="5" t="s">
        <v>69</v>
      </c>
      <c r="I11" s="5" t="s">
        <v>86</v>
      </c>
      <c r="J11" s="5"/>
      <c r="K11" s="5"/>
      <c r="L11" s="5"/>
      <c r="M11" s="5"/>
      <c r="N11" s="5"/>
    </row>
    <row r="12" spans="2:14" x14ac:dyDescent="0.15">
      <c r="B12" s="5">
        <v>10</v>
      </c>
      <c r="C12" s="5" t="s">
        <v>58</v>
      </c>
      <c r="D12" s="5" t="s">
        <v>59</v>
      </c>
      <c r="E12" s="5" t="s">
        <v>72</v>
      </c>
      <c r="F12" s="5" t="s">
        <v>73</v>
      </c>
      <c r="G12" s="5" t="s">
        <v>70</v>
      </c>
      <c r="H12" s="5" t="s">
        <v>71</v>
      </c>
      <c r="I12" s="5" t="s">
        <v>87</v>
      </c>
      <c r="J12" s="5"/>
      <c r="K12" s="5"/>
      <c r="L12" s="5"/>
      <c r="M12" s="5"/>
      <c r="N12" s="5"/>
    </row>
    <row r="13" spans="2:14" x14ac:dyDescent="0.15">
      <c r="B13" s="5">
        <v>11</v>
      </c>
      <c r="C13" s="5" t="s">
        <v>74</v>
      </c>
      <c r="D13" s="5" t="s">
        <v>75</v>
      </c>
      <c r="E13" s="5" t="s">
        <v>60</v>
      </c>
      <c r="F13" s="5" t="s">
        <v>61</v>
      </c>
      <c r="G13" s="5" t="s">
        <v>62</v>
      </c>
      <c r="H13" s="5" t="s">
        <v>63</v>
      </c>
      <c r="I13" s="5" t="s">
        <v>88</v>
      </c>
      <c r="J13" s="5"/>
      <c r="K13" s="5"/>
      <c r="L13" s="5"/>
      <c r="M13" s="5"/>
      <c r="N13" s="5"/>
    </row>
    <row r="14" spans="2:14" x14ac:dyDescent="0.15">
      <c r="B14" s="5">
        <v>12</v>
      </c>
      <c r="C14" s="5" t="s">
        <v>74</v>
      </c>
      <c r="D14" s="5" t="s">
        <v>75</v>
      </c>
      <c r="E14" s="5" t="s">
        <v>60</v>
      </c>
      <c r="F14" s="5" t="s">
        <v>61</v>
      </c>
      <c r="G14" s="5" t="s">
        <v>64</v>
      </c>
      <c r="H14" s="5" t="s">
        <v>65</v>
      </c>
      <c r="I14" s="5" t="s">
        <v>89</v>
      </c>
      <c r="J14" s="5"/>
      <c r="K14" s="5"/>
      <c r="L14" s="5"/>
      <c r="M14" s="5"/>
      <c r="N14" s="5"/>
    </row>
    <row r="15" spans="2:14" x14ac:dyDescent="0.15">
      <c r="B15" s="5">
        <v>13</v>
      </c>
      <c r="C15" s="5" t="s">
        <v>74</v>
      </c>
      <c r="D15" s="5" t="s">
        <v>75</v>
      </c>
      <c r="E15" s="5" t="s">
        <v>60</v>
      </c>
      <c r="F15" s="5" t="s">
        <v>61</v>
      </c>
      <c r="G15" s="5" t="s">
        <v>66</v>
      </c>
      <c r="H15" s="5" t="s">
        <v>67</v>
      </c>
      <c r="I15" s="5" t="s">
        <v>90</v>
      </c>
      <c r="J15" s="5"/>
      <c r="K15" s="5"/>
      <c r="L15" s="5"/>
      <c r="M15" s="5"/>
      <c r="N15" s="5"/>
    </row>
    <row r="16" spans="2:14" x14ac:dyDescent="0.15">
      <c r="B16" s="5">
        <v>14</v>
      </c>
      <c r="C16" s="5" t="s">
        <v>74</v>
      </c>
      <c r="D16" s="5" t="s">
        <v>75</v>
      </c>
      <c r="E16" s="5" t="s">
        <v>60</v>
      </c>
      <c r="F16" s="5" t="s">
        <v>61</v>
      </c>
      <c r="G16" s="5" t="s">
        <v>68</v>
      </c>
      <c r="H16" s="5" t="s">
        <v>69</v>
      </c>
      <c r="I16" s="5" t="s">
        <v>91</v>
      </c>
      <c r="J16" s="5"/>
      <c r="K16" s="5"/>
      <c r="L16" s="5"/>
      <c r="M16" s="5"/>
      <c r="N16" s="5"/>
    </row>
    <row r="17" spans="2:14" x14ac:dyDescent="0.15">
      <c r="B17" s="5">
        <v>15</v>
      </c>
      <c r="C17" s="5" t="s">
        <v>74</v>
      </c>
      <c r="D17" s="5" t="s">
        <v>75</v>
      </c>
      <c r="E17" s="5" t="s">
        <v>60</v>
      </c>
      <c r="F17" s="5" t="s">
        <v>61</v>
      </c>
      <c r="G17" s="5" t="s">
        <v>70</v>
      </c>
      <c r="H17" s="5" t="s">
        <v>71</v>
      </c>
      <c r="I17" s="5" t="s">
        <v>92</v>
      </c>
      <c r="J17" s="5"/>
      <c r="K17" s="5"/>
      <c r="L17" s="5"/>
      <c r="M17" s="5"/>
      <c r="N17" s="5"/>
    </row>
    <row r="18" spans="2:14" x14ac:dyDescent="0.15">
      <c r="B18" s="5">
        <v>16</v>
      </c>
      <c r="C18" s="5" t="s">
        <v>74</v>
      </c>
      <c r="D18" s="5" t="s">
        <v>75</v>
      </c>
      <c r="E18" s="5" t="s">
        <v>72</v>
      </c>
      <c r="F18" s="5" t="s">
        <v>73</v>
      </c>
      <c r="G18" s="5" t="s">
        <v>62</v>
      </c>
      <c r="H18" s="5" t="s">
        <v>63</v>
      </c>
      <c r="I18" s="5" t="s">
        <v>93</v>
      </c>
      <c r="J18" s="5"/>
      <c r="K18" s="5"/>
      <c r="L18" s="5"/>
      <c r="M18" s="5"/>
      <c r="N18" s="5"/>
    </row>
    <row r="19" spans="2:14" x14ac:dyDescent="0.15">
      <c r="B19" s="5">
        <v>17</v>
      </c>
      <c r="C19" s="5" t="s">
        <v>74</v>
      </c>
      <c r="D19" s="5" t="s">
        <v>75</v>
      </c>
      <c r="E19" s="5" t="s">
        <v>72</v>
      </c>
      <c r="F19" s="5" t="s">
        <v>73</v>
      </c>
      <c r="G19" s="5" t="s">
        <v>64</v>
      </c>
      <c r="H19" s="5" t="s">
        <v>65</v>
      </c>
      <c r="I19" s="5" t="s">
        <v>94</v>
      </c>
      <c r="J19" s="5"/>
      <c r="K19" s="5"/>
      <c r="L19" s="5"/>
      <c r="M19" s="5"/>
      <c r="N19" s="5"/>
    </row>
    <row r="20" spans="2:14" x14ac:dyDescent="0.15">
      <c r="B20" s="5">
        <v>18</v>
      </c>
      <c r="C20" s="5" t="s">
        <v>74</v>
      </c>
      <c r="D20" s="5" t="s">
        <v>75</v>
      </c>
      <c r="E20" s="5" t="s">
        <v>72</v>
      </c>
      <c r="F20" s="5" t="s">
        <v>73</v>
      </c>
      <c r="G20" s="5" t="s">
        <v>66</v>
      </c>
      <c r="H20" s="5" t="s">
        <v>67</v>
      </c>
      <c r="I20" s="5" t="s">
        <v>95</v>
      </c>
      <c r="J20" s="5"/>
      <c r="K20" s="5"/>
      <c r="L20" s="5"/>
      <c r="M20" s="5"/>
      <c r="N20" s="5"/>
    </row>
    <row r="21" spans="2:14" x14ac:dyDescent="0.15">
      <c r="B21" s="5">
        <v>19</v>
      </c>
      <c r="C21" s="5" t="s">
        <v>74</v>
      </c>
      <c r="D21" s="5" t="s">
        <v>75</v>
      </c>
      <c r="E21" s="5" t="s">
        <v>72</v>
      </c>
      <c r="F21" s="5" t="s">
        <v>73</v>
      </c>
      <c r="G21" s="5" t="s">
        <v>68</v>
      </c>
      <c r="H21" s="5" t="s">
        <v>69</v>
      </c>
      <c r="I21" s="5" t="s">
        <v>96</v>
      </c>
      <c r="J21" s="5"/>
      <c r="K21" s="5"/>
      <c r="L21" s="5"/>
      <c r="M21" s="5"/>
      <c r="N21" s="5"/>
    </row>
    <row r="22" spans="2:14" x14ac:dyDescent="0.15">
      <c r="B22" s="5">
        <v>20</v>
      </c>
      <c r="C22" s="5" t="s">
        <v>74</v>
      </c>
      <c r="D22" s="5" t="s">
        <v>75</v>
      </c>
      <c r="E22" s="5" t="s">
        <v>72</v>
      </c>
      <c r="F22" s="5" t="s">
        <v>73</v>
      </c>
      <c r="G22" s="5" t="s">
        <v>70</v>
      </c>
      <c r="H22" s="5" t="s">
        <v>71</v>
      </c>
      <c r="I22" s="5" t="s">
        <v>97</v>
      </c>
      <c r="J22" s="5"/>
      <c r="K22" s="5"/>
      <c r="L22" s="5"/>
      <c r="M22" s="5"/>
      <c r="N22" s="5"/>
    </row>
    <row r="23" spans="2:14" x14ac:dyDescent="0.15">
      <c r="B23" s="5">
        <v>21</v>
      </c>
      <c r="C23" s="5" t="s">
        <v>76</v>
      </c>
      <c r="D23" s="5" t="s">
        <v>77</v>
      </c>
      <c r="E23" s="5" t="s">
        <v>60</v>
      </c>
      <c r="F23" s="5" t="s">
        <v>61</v>
      </c>
      <c r="G23" s="5" t="s">
        <v>62</v>
      </c>
      <c r="H23" s="5" t="s">
        <v>63</v>
      </c>
      <c r="I23" s="5" t="s">
        <v>98</v>
      </c>
      <c r="J23" s="5"/>
      <c r="K23" s="5"/>
      <c r="L23" s="5"/>
      <c r="M23" s="5"/>
      <c r="N23" s="5"/>
    </row>
    <row r="24" spans="2:14" x14ac:dyDescent="0.15">
      <c r="B24" s="5">
        <v>22</v>
      </c>
      <c r="C24" s="5" t="s">
        <v>76</v>
      </c>
      <c r="D24" s="5" t="s">
        <v>77</v>
      </c>
      <c r="E24" s="5" t="s">
        <v>60</v>
      </c>
      <c r="F24" s="5" t="s">
        <v>61</v>
      </c>
      <c r="G24" s="5" t="s">
        <v>64</v>
      </c>
      <c r="H24" s="5" t="s">
        <v>65</v>
      </c>
      <c r="I24" s="5" t="s">
        <v>99</v>
      </c>
      <c r="J24" s="5"/>
      <c r="K24" s="5"/>
      <c r="L24" s="5"/>
      <c r="M24" s="5"/>
      <c r="N24" s="5"/>
    </row>
    <row r="25" spans="2:14" x14ac:dyDescent="0.15">
      <c r="B25" s="5">
        <v>23</v>
      </c>
      <c r="C25" s="5" t="s">
        <v>76</v>
      </c>
      <c r="D25" s="5" t="s">
        <v>77</v>
      </c>
      <c r="E25" s="5" t="s">
        <v>60</v>
      </c>
      <c r="F25" s="5" t="s">
        <v>61</v>
      </c>
      <c r="G25" s="5" t="s">
        <v>66</v>
      </c>
      <c r="H25" s="5" t="s">
        <v>67</v>
      </c>
      <c r="I25" s="5" t="s">
        <v>100</v>
      </c>
      <c r="J25" s="5"/>
      <c r="K25" s="5"/>
      <c r="L25" s="5"/>
      <c r="M25" s="5"/>
      <c r="N25" s="5"/>
    </row>
    <row r="26" spans="2:14" x14ac:dyDescent="0.15">
      <c r="B26" s="5">
        <v>24</v>
      </c>
      <c r="C26" s="5" t="s">
        <v>76</v>
      </c>
      <c r="D26" s="5" t="s">
        <v>77</v>
      </c>
      <c r="E26" s="5" t="s">
        <v>60</v>
      </c>
      <c r="F26" s="5" t="s">
        <v>61</v>
      </c>
      <c r="G26" s="5" t="s">
        <v>68</v>
      </c>
      <c r="H26" s="5" t="s">
        <v>69</v>
      </c>
      <c r="I26" s="5" t="s">
        <v>101</v>
      </c>
      <c r="J26" s="5"/>
      <c r="K26" s="5"/>
      <c r="L26" s="5"/>
      <c r="M26" s="5"/>
      <c r="N26" s="5"/>
    </row>
    <row r="27" spans="2:14" x14ac:dyDescent="0.15">
      <c r="B27" s="5">
        <v>25</v>
      </c>
      <c r="C27" s="5" t="s">
        <v>76</v>
      </c>
      <c r="D27" s="5" t="s">
        <v>77</v>
      </c>
      <c r="E27" s="5" t="s">
        <v>60</v>
      </c>
      <c r="F27" s="5" t="s">
        <v>61</v>
      </c>
      <c r="G27" s="5" t="s">
        <v>70</v>
      </c>
      <c r="H27" s="5" t="s">
        <v>71</v>
      </c>
      <c r="I27" s="5" t="s">
        <v>102</v>
      </c>
      <c r="J27" s="5"/>
      <c r="K27" s="5"/>
      <c r="L27" s="5"/>
      <c r="M27" s="5"/>
      <c r="N27" s="5"/>
    </row>
    <row r="28" spans="2:14" x14ac:dyDescent="0.15">
      <c r="B28" s="5">
        <v>26</v>
      </c>
      <c r="C28" s="5" t="s">
        <v>76</v>
      </c>
      <c r="D28" s="5" t="s">
        <v>77</v>
      </c>
      <c r="E28" s="5" t="s">
        <v>72</v>
      </c>
      <c r="F28" s="5" t="s">
        <v>73</v>
      </c>
      <c r="G28" s="5" t="s">
        <v>62</v>
      </c>
      <c r="H28" s="5" t="s">
        <v>63</v>
      </c>
      <c r="I28" s="5" t="s">
        <v>103</v>
      </c>
      <c r="J28" s="5"/>
      <c r="K28" s="5"/>
      <c r="L28" s="5"/>
      <c r="M28" s="5"/>
      <c r="N28" s="5"/>
    </row>
    <row r="29" spans="2:14" x14ac:dyDescent="0.15">
      <c r="B29" s="5">
        <v>27</v>
      </c>
      <c r="C29" s="5" t="s">
        <v>76</v>
      </c>
      <c r="D29" s="5" t="s">
        <v>77</v>
      </c>
      <c r="E29" s="5" t="s">
        <v>72</v>
      </c>
      <c r="F29" s="5" t="s">
        <v>73</v>
      </c>
      <c r="G29" s="5" t="s">
        <v>64</v>
      </c>
      <c r="H29" s="5" t="s">
        <v>65</v>
      </c>
      <c r="I29" s="5" t="s">
        <v>104</v>
      </c>
      <c r="J29" s="5"/>
      <c r="K29" s="5"/>
      <c r="L29" s="5"/>
      <c r="M29" s="5"/>
      <c r="N29" s="5"/>
    </row>
    <row r="30" spans="2:14" x14ac:dyDescent="0.15">
      <c r="B30" s="5">
        <v>28</v>
      </c>
      <c r="C30" s="5" t="s">
        <v>76</v>
      </c>
      <c r="D30" s="5" t="s">
        <v>77</v>
      </c>
      <c r="E30" s="5" t="s">
        <v>72</v>
      </c>
      <c r="F30" s="5" t="s">
        <v>73</v>
      </c>
      <c r="G30" s="5" t="s">
        <v>66</v>
      </c>
      <c r="H30" s="5" t="s">
        <v>67</v>
      </c>
      <c r="I30" s="5" t="s">
        <v>105</v>
      </c>
      <c r="J30" s="5"/>
      <c r="K30" s="5"/>
      <c r="L30" s="5"/>
      <c r="M30" s="5"/>
      <c r="N30" s="5"/>
    </row>
    <row r="31" spans="2:14" x14ac:dyDescent="0.15">
      <c r="B31" s="5">
        <v>29</v>
      </c>
      <c r="C31" s="5" t="s">
        <v>76</v>
      </c>
      <c r="D31" s="5" t="s">
        <v>77</v>
      </c>
      <c r="E31" s="5" t="s">
        <v>72</v>
      </c>
      <c r="F31" s="5" t="s">
        <v>73</v>
      </c>
      <c r="G31" s="5" t="s">
        <v>68</v>
      </c>
      <c r="H31" s="5" t="s">
        <v>69</v>
      </c>
      <c r="I31" s="5" t="s">
        <v>106</v>
      </c>
      <c r="J31" s="5"/>
      <c r="K31" s="5"/>
      <c r="L31" s="5"/>
      <c r="M31" s="5"/>
      <c r="N31" s="5"/>
    </row>
    <row r="32" spans="2:14" x14ac:dyDescent="0.15">
      <c r="B32" s="5">
        <v>30</v>
      </c>
      <c r="C32" s="5" t="s">
        <v>76</v>
      </c>
      <c r="D32" s="5" t="s">
        <v>77</v>
      </c>
      <c r="E32" s="5" t="s">
        <v>72</v>
      </c>
      <c r="F32" s="5" t="s">
        <v>73</v>
      </c>
      <c r="G32" s="5" t="s">
        <v>70</v>
      </c>
      <c r="H32" s="5" t="s">
        <v>71</v>
      </c>
      <c r="I32" s="5" t="s">
        <v>107</v>
      </c>
      <c r="J32" s="5"/>
      <c r="K32" s="5"/>
      <c r="L32" s="5"/>
      <c r="M32" s="5"/>
      <c r="N32" s="5"/>
    </row>
    <row r="38" spans="6:8" x14ac:dyDescent="0.15">
      <c r="F38" s="8"/>
      <c r="G38" s="8"/>
      <c r="H38" s="8"/>
    </row>
    <row r="39" spans="6:8" x14ac:dyDescent="0.15">
      <c r="F39" s="8"/>
      <c r="G39" s="8"/>
      <c r="H39" s="8"/>
    </row>
    <row r="40" spans="6:8" x14ac:dyDescent="0.15">
      <c r="F40" s="8"/>
      <c r="G40" s="8"/>
      <c r="H40" s="8"/>
    </row>
    <row r="41" spans="6:8" x14ac:dyDescent="0.15">
      <c r="F41" s="8"/>
      <c r="G41" s="8"/>
      <c r="H41" s="8"/>
    </row>
    <row r="42" spans="6:8" x14ac:dyDescent="0.15">
      <c r="F42" s="7"/>
      <c r="G42" s="7"/>
      <c r="H42" s="7"/>
    </row>
    <row r="43" spans="6:8" x14ac:dyDescent="0.15">
      <c r="F43" s="8"/>
      <c r="G43" s="8"/>
      <c r="H43" s="8"/>
    </row>
    <row r="44" spans="6:8" x14ac:dyDescent="0.15">
      <c r="F44" s="8"/>
      <c r="G44" s="8"/>
      <c r="H44" s="8"/>
    </row>
    <row r="45" spans="6:8" x14ac:dyDescent="0.15">
      <c r="F45" s="8"/>
      <c r="G45" s="8"/>
      <c r="H45" s="8"/>
    </row>
    <row r="46" spans="6:8" x14ac:dyDescent="0.15">
      <c r="F46" s="7"/>
      <c r="G46" s="7"/>
      <c r="H46" s="7"/>
    </row>
    <row r="47" spans="6:8" x14ac:dyDescent="0.15">
      <c r="F47" s="8"/>
      <c r="G47" s="8"/>
      <c r="H47" s="8"/>
    </row>
    <row r="48" spans="6:8" x14ac:dyDescent="0.15">
      <c r="F48" s="8"/>
      <c r="G48" s="8"/>
      <c r="H48" s="8"/>
    </row>
    <row r="49" spans="6:8" x14ac:dyDescent="0.15">
      <c r="F49" s="8"/>
      <c r="G49" s="8"/>
      <c r="H49" s="8"/>
    </row>
    <row r="50" spans="6:8" x14ac:dyDescent="0.15">
      <c r="F50" s="8"/>
      <c r="G50" s="8"/>
      <c r="H50" s="8"/>
    </row>
    <row r="51" spans="6:8" x14ac:dyDescent="0.15">
      <c r="F51" s="8"/>
      <c r="G51" s="8"/>
      <c r="H51" s="8"/>
    </row>
    <row r="52" spans="6:8" x14ac:dyDescent="0.15">
      <c r="F52" s="8"/>
      <c r="G52" s="8"/>
      <c r="H52" s="8"/>
    </row>
  </sheetData>
  <mergeCells count="2">
    <mergeCell ref="E2:F2"/>
    <mergeCell ref="G2:H2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B1:Q23"/>
  <sheetViews>
    <sheetView topLeftCell="D13" zoomScaleNormal="100" workbookViewId="0">
      <selection activeCell="H16" sqref="H16"/>
    </sheetView>
  </sheetViews>
  <sheetFormatPr defaultRowHeight="13.5" x14ac:dyDescent="0.15"/>
  <cols>
    <col min="1" max="1" width="5.625" customWidth="1"/>
    <col min="2" max="2" width="6" customWidth="1"/>
    <col min="3" max="3" width="17.25" customWidth="1"/>
    <col min="4" max="4" width="22.125" style="31" customWidth="1"/>
    <col min="5" max="5" width="14.625" customWidth="1"/>
    <col min="6" max="6" width="25" customWidth="1"/>
    <col min="7" max="7" width="19.625" customWidth="1"/>
    <col min="8" max="8" width="31.875" customWidth="1"/>
    <col min="9" max="9" width="21.5" customWidth="1"/>
    <col min="10" max="10" width="11.75" customWidth="1"/>
    <col min="11" max="11" width="13" customWidth="1"/>
    <col min="12" max="17" width="20.625" customWidth="1"/>
  </cols>
  <sheetData>
    <row r="1" spans="2:17" ht="14.25" x14ac:dyDescent="0.15">
      <c r="B1" s="31">
        <v>14</v>
      </c>
      <c r="C1" s="31">
        <v>15</v>
      </c>
      <c r="E1" s="31"/>
      <c r="F1" s="10" t="s">
        <v>868</v>
      </c>
      <c r="G1" s="10" t="s">
        <v>869</v>
      </c>
      <c r="H1" s="10" t="s">
        <v>882</v>
      </c>
      <c r="I1" s="10" t="s">
        <v>883</v>
      </c>
      <c r="J1" s="3"/>
      <c r="K1" s="3" t="s">
        <v>157</v>
      </c>
      <c r="L1" s="3" t="s">
        <v>129</v>
      </c>
      <c r="M1" s="3" t="s">
        <v>130</v>
      </c>
      <c r="N1" s="3" t="s">
        <v>131</v>
      </c>
      <c r="O1" s="3" t="s">
        <v>132</v>
      </c>
      <c r="P1" s="3" t="s">
        <v>133</v>
      </c>
      <c r="Q1" s="32" t="s">
        <v>234</v>
      </c>
    </row>
    <row r="2" spans="2:17" ht="14.25" x14ac:dyDescent="0.15">
      <c r="B2" s="5" t="s">
        <v>12</v>
      </c>
      <c r="C2" s="30" t="s">
        <v>48</v>
      </c>
      <c r="D2" s="11" t="s">
        <v>4</v>
      </c>
      <c r="E2" s="30" t="s">
        <v>52</v>
      </c>
      <c r="F2" s="12" t="s">
        <v>46</v>
      </c>
      <c r="G2" s="12" t="s">
        <v>47</v>
      </c>
      <c r="H2" s="12" t="s">
        <v>884</v>
      </c>
      <c r="I2" s="12" t="s">
        <v>885</v>
      </c>
      <c r="J2" s="11" t="s">
        <v>156</v>
      </c>
      <c r="K2" s="11" t="s">
        <v>153</v>
      </c>
      <c r="L2" s="12" t="s">
        <v>230</v>
      </c>
      <c r="M2" s="12" t="s">
        <v>1181</v>
      </c>
      <c r="N2" s="12" t="s">
        <v>231</v>
      </c>
      <c r="O2" s="3" t="s">
        <v>232</v>
      </c>
      <c r="P2" s="3" t="s">
        <v>233</v>
      </c>
      <c r="Q2" s="11" t="s">
        <v>235</v>
      </c>
    </row>
    <row r="3" spans="2:17" ht="78.75" customHeight="1" x14ac:dyDescent="0.15">
      <c r="B3" s="71">
        <v>1</v>
      </c>
      <c r="C3" s="30" t="s">
        <v>242</v>
      </c>
      <c r="D3" s="11"/>
      <c r="E3" s="30" t="s">
        <v>245</v>
      </c>
      <c r="F3" s="11" t="s">
        <v>236</v>
      </c>
      <c r="G3" s="11" t="s">
        <v>237</v>
      </c>
      <c r="H3" s="11" t="s">
        <v>967</v>
      </c>
      <c r="I3" s="11" t="s">
        <v>970</v>
      </c>
      <c r="J3" s="11" t="s">
        <v>248</v>
      </c>
      <c r="K3" s="11" t="s">
        <v>238</v>
      </c>
      <c r="L3" s="11" t="s">
        <v>1215</v>
      </c>
      <c r="M3" s="11" t="s">
        <v>1216</v>
      </c>
      <c r="N3" s="11"/>
      <c r="O3" s="11"/>
      <c r="P3" s="11" t="s">
        <v>1217</v>
      </c>
      <c r="Q3" s="11" t="s">
        <v>1261</v>
      </c>
    </row>
    <row r="4" spans="2:17" ht="80.25" customHeight="1" x14ac:dyDescent="0.15">
      <c r="B4" s="71">
        <v>2</v>
      </c>
      <c r="C4" s="30" t="s">
        <v>229</v>
      </c>
      <c r="D4" s="11" t="s">
        <v>252</v>
      </c>
      <c r="E4" s="30" t="s">
        <v>246</v>
      </c>
      <c r="F4" s="11" t="s">
        <v>240</v>
      </c>
      <c r="G4" s="11" t="s">
        <v>237</v>
      </c>
      <c r="H4" s="33" t="s">
        <v>968</v>
      </c>
      <c r="I4" s="11" t="s">
        <v>970</v>
      </c>
      <c r="J4" s="3" t="s">
        <v>157</v>
      </c>
      <c r="K4" s="11" t="s">
        <v>239</v>
      </c>
      <c r="L4" s="11" t="s">
        <v>1218</v>
      </c>
      <c r="M4" s="11" t="s">
        <v>1219</v>
      </c>
      <c r="N4" s="11" t="s">
        <v>1220</v>
      </c>
      <c r="O4" s="11" t="s">
        <v>1221</v>
      </c>
      <c r="P4" s="11" t="s">
        <v>1222</v>
      </c>
      <c r="Q4" s="11" t="s">
        <v>1262</v>
      </c>
    </row>
    <row r="5" spans="2:17" ht="84" customHeight="1" x14ac:dyDescent="0.15">
      <c r="B5" s="81">
        <v>3</v>
      </c>
      <c r="C5" s="74" t="s">
        <v>229</v>
      </c>
      <c r="D5" s="75" t="s">
        <v>251</v>
      </c>
      <c r="E5" s="74" t="s">
        <v>247</v>
      </c>
      <c r="F5" s="75" t="s">
        <v>241</v>
      </c>
      <c r="G5" s="75" t="s">
        <v>237</v>
      </c>
      <c r="H5" s="33" t="s">
        <v>969</v>
      </c>
      <c r="I5" s="75" t="s">
        <v>970</v>
      </c>
      <c r="J5" s="76" t="s">
        <v>157</v>
      </c>
      <c r="K5" s="75" t="s">
        <v>239</v>
      </c>
      <c r="L5" s="75" t="s">
        <v>1223</v>
      </c>
      <c r="M5" s="75" t="s">
        <v>1232</v>
      </c>
      <c r="N5" s="75" t="s">
        <v>1240</v>
      </c>
      <c r="O5" s="75" t="s">
        <v>1245</v>
      </c>
      <c r="P5" s="75" t="s">
        <v>1254</v>
      </c>
      <c r="Q5" s="75" t="s">
        <v>1263</v>
      </c>
    </row>
    <row r="6" spans="2:17" ht="80.099999999999994" customHeight="1" x14ac:dyDescent="0.15">
      <c r="B6" s="81">
        <v>4</v>
      </c>
      <c r="C6" s="20" t="s">
        <v>1154</v>
      </c>
      <c r="D6" s="77" t="s">
        <v>1167</v>
      </c>
      <c r="E6" s="78" t="s">
        <v>1155</v>
      </c>
      <c r="F6" s="75" t="s">
        <v>1187</v>
      </c>
      <c r="G6" s="75" t="s">
        <v>1186</v>
      </c>
      <c r="H6" s="11" t="s">
        <v>1189</v>
      </c>
      <c r="I6" s="74">
        <v>0</v>
      </c>
      <c r="J6" s="3" t="s">
        <v>1180</v>
      </c>
      <c r="K6" s="70" t="s">
        <v>1176</v>
      </c>
      <c r="L6" s="75" t="s">
        <v>1224</v>
      </c>
      <c r="M6" s="75" t="s">
        <v>1233</v>
      </c>
      <c r="N6" s="34"/>
      <c r="O6" s="75" t="s">
        <v>1246</v>
      </c>
      <c r="P6" s="75" t="s">
        <v>1255</v>
      </c>
      <c r="Q6" s="34"/>
    </row>
    <row r="7" spans="2:17" ht="80.099999999999994" customHeight="1" x14ac:dyDescent="0.15">
      <c r="B7" s="81">
        <v>5</v>
      </c>
      <c r="C7" s="20" t="s">
        <v>1154</v>
      </c>
      <c r="D7" s="77" t="s">
        <v>1166</v>
      </c>
      <c r="E7" s="78" t="s">
        <v>1156</v>
      </c>
      <c r="F7" s="75" t="s">
        <v>1188</v>
      </c>
      <c r="G7" s="75" t="s">
        <v>1190</v>
      </c>
      <c r="H7" s="11" t="s">
        <v>1191</v>
      </c>
      <c r="I7" s="74">
        <v>0</v>
      </c>
      <c r="J7" s="76" t="s">
        <v>1180</v>
      </c>
      <c r="K7" s="77" t="s">
        <v>1176</v>
      </c>
      <c r="L7" s="75" t="s">
        <v>1225</v>
      </c>
      <c r="M7" s="75" t="s">
        <v>1270</v>
      </c>
      <c r="O7" s="75" t="s">
        <v>1247</v>
      </c>
      <c r="P7" s="75" t="s">
        <v>1256</v>
      </c>
      <c r="Q7" s="34"/>
    </row>
    <row r="8" spans="2:17" ht="80.099999999999994" customHeight="1" x14ac:dyDescent="0.15">
      <c r="B8" s="81">
        <v>6</v>
      </c>
      <c r="C8" s="20" t="s">
        <v>1153</v>
      </c>
      <c r="D8" s="77" t="s">
        <v>1168</v>
      </c>
      <c r="E8" s="74" t="s">
        <v>1157</v>
      </c>
      <c r="F8" s="75" t="s">
        <v>1192</v>
      </c>
      <c r="G8" s="75" t="s">
        <v>1193</v>
      </c>
      <c r="H8" s="11" t="s">
        <v>1194</v>
      </c>
      <c r="I8" s="74">
        <v>0</v>
      </c>
      <c r="J8" s="3" t="s">
        <v>1180</v>
      </c>
      <c r="K8" s="77" t="s">
        <v>1176</v>
      </c>
      <c r="L8" s="75" t="s">
        <v>1226</v>
      </c>
      <c r="M8" s="75" t="s">
        <v>1234</v>
      </c>
      <c r="N8" s="11" t="s">
        <v>1241</v>
      </c>
      <c r="O8" s="75" t="s">
        <v>1248</v>
      </c>
      <c r="P8" s="75" t="s">
        <v>1257</v>
      </c>
      <c r="Q8" s="34"/>
    </row>
    <row r="9" spans="2:17" ht="80.099999999999994" customHeight="1" x14ac:dyDescent="0.15">
      <c r="B9" s="81">
        <v>7</v>
      </c>
      <c r="C9" s="20" t="s">
        <v>1153</v>
      </c>
      <c r="D9" s="77" t="s">
        <v>1169</v>
      </c>
      <c r="E9" s="78" t="s">
        <v>1158</v>
      </c>
      <c r="F9" s="75" t="s">
        <v>1187</v>
      </c>
      <c r="G9" s="75" t="s">
        <v>1186</v>
      </c>
      <c r="H9" s="11" t="s">
        <v>1189</v>
      </c>
      <c r="I9" s="74">
        <v>0</v>
      </c>
      <c r="J9" s="76" t="s">
        <v>1180</v>
      </c>
      <c r="K9" s="77" t="s">
        <v>1176</v>
      </c>
      <c r="L9" s="75" t="s">
        <v>1227</v>
      </c>
      <c r="M9" s="75" t="s">
        <v>1235</v>
      </c>
      <c r="N9" s="34"/>
      <c r="O9" s="75" t="s">
        <v>1249</v>
      </c>
      <c r="P9" s="75"/>
      <c r="Q9" s="34"/>
    </row>
    <row r="10" spans="2:17" ht="80.099999999999994" customHeight="1" x14ac:dyDescent="0.15">
      <c r="B10" s="81">
        <v>8</v>
      </c>
      <c r="C10" s="20" t="s">
        <v>1153</v>
      </c>
      <c r="D10" s="77" t="s">
        <v>1170</v>
      </c>
      <c r="E10" s="78" t="s">
        <v>1159</v>
      </c>
      <c r="F10" s="75" t="s">
        <v>1199</v>
      </c>
      <c r="G10" s="75" t="s">
        <v>1195</v>
      </c>
      <c r="H10" s="11" t="s">
        <v>1196</v>
      </c>
      <c r="I10" s="74">
        <v>0</v>
      </c>
      <c r="J10" s="3" t="s">
        <v>1180</v>
      </c>
      <c r="K10" s="70" t="s">
        <v>1152</v>
      </c>
      <c r="L10" s="75" t="s">
        <v>1228</v>
      </c>
      <c r="M10" s="75" t="s">
        <v>1236</v>
      </c>
      <c r="N10" s="34"/>
      <c r="O10" s="75" t="s">
        <v>1250</v>
      </c>
      <c r="P10" s="75" t="s">
        <v>1258</v>
      </c>
      <c r="Q10" s="34"/>
    </row>
    <row r="11" spans="2:17" ht="80.099999999999994" customHeight="1" x14ac:dyDescent="0.15">
      <c r="B11" s="81">
        <v>9</v>
      </c>
      <c r="C11" s="20" t="s">
        <v>1153</v>
      </c>
      <c r="D11" s="77" t="s">
        <v>1171</v>
      </c>
      <c r="E11" s="74" t="s">
        <v>1160</v>
      </c>
      <c r="F11" s="75" t="s">
        <v>1200</v>
      </c>
      <c r="G11" s="75" t="s">
        <v>1197</v>
      </c>
      <c r="H11" s="11" t="s">
        <v>1198</v>
      </c>
      <c r="I11" s="74">
        <v>0</v>
      </c>
      <c r="J11" s="76" t="s">
        <v>1180</v>
      </c>
      <c r="K11" s="70" t="s">
        <v>1177</v>
      </c>
      <c r="L11" s="75" t="s">
        <v>1229</v>
      </c>
      <c r="M11" s="75" t="s">
        <v>1237</v>
      </c>
      <c r="N11" s="34"/>
      <c r="O11" s="75" t="s">
        <v>1251</v>
      </c>
      <c r="P11" s="75" t="s">
        <v>1259</v>
      </c>
      <c r="Q11" s="34"/>
    </row>
    <row r="12" spans="2:17" ht="80.099999999999994" customHeight="1" x14ac:dyDescent="0.15">
      <c r="B12" s="81">
        <v>10</v>
      </c>
      <c r="C12" s="20" t="s">
        <v>1153</v>
      </c>
      <c r="D12" s="79" t="s">
        <v>1172</v>
      </c>
      <c r="E12" s="78" t="s">
        <v>1161</v>
      </c>
      <c r="F12" s="75" t="s">
        <v>1201</v>
      </c>
      <c r="G12" s="75" t="s">
        <v>1202</v>
      </c>
      <c r="H12" s="11" t="s">
        <v>1203</v>
      </c>
      <c r="I12" s="74">
        <v>0</v>
      </c>
      <c r="J12" s="3" t="s">
        <v>1180</v>
      </c>
      <c r="K12" s="77" t="s">
        <v>1152</v>
      </c>
      <c r="L12" s="75" t="s">
        <v>1229</v>
      </c>
      <c r="M12" s="75" t="s">
        <v>1237</v>
      </c>
      <c r="N12" s="75" t="s">
        <v>1242</v>
      </c>
      <c r="O12" s="75" t="s">
        <v>1250</v>
      </c>
      <c r="P12" s="75" t="s">
        <v>1258</v>
      </c>
      <c r="Q12" s="34"/>
    </row>
    <row r="13" spans="2:17" ht="80.099999999999994" customHeight="1" x14ac:dyDescent="0.15">
      <c r="B13" s="81">
        <v>11</v>
      </c>
      <c r="C13" s="20" t="s">
        <v>1153</v>
      </c>
      <c r="D13" s="29" t="s">
        <v>1173</v>
      </c>
      <c r="E13" s="78" t="s">
        <v>1162</v>
      </c>
      <c r="F13" s="75" t="s">
        <v>1204</v>
      </c>
      <c r="G13" s="75" t="s">
        <v>1205</v>
      </c>
      <c r="H13" s="11" t="s">
        <v>1206</v>
      </c>
      <c r="I13" s="74">
        <v>0</v>
      </c>
      <c r="J13" s="76" t="s">
        <v>1180</v>
      </c>
      <c r="K13" s="77" t="s">
        <v>1177</v>
      </c>
      <c r="L13" s="75" t="s">
        <v>1229</v>
      </c>
      <c r="M13" s="75" t="s">
        <v>1237</v>
      </c>
      <c r="N13" s="75" t="s">
        <v>1242</v>
      </c>
      <c r="O13" s="75" t="s">
        <v>1250</v>
      </c>
      <c r="P13" s="75" t="s">
        <v>1258</v>
      </c>
      <c r="Q13" s="34"/>
    </row>
    <row r="14" spans="2:17" ht="80.099999999999994" customHeight="1" x14ac:dyDescent="0.15">
      <c r="B14" s="81">
        <v>12</v>
      </c>
      <c r="C14" s="20" t="s">
        <v>1153</v>
      </c>
      <c r="D14" s="77" t="s">
        <v>1174</v>
      </c>
      <c r="E14" s="78" t="s">
        <v>1163</v>
      </c>
      <c r="F14" s="3" t="s">
        <v>1207</v>
      </c>
      <c r="G14" s="3" t="s">
        <v>1208</v>
      </c>
      <c r="H14" s="3" t="s">
        <v>1271</v>
      </c>
      <c r="I14" s="74">
        <v>0</v>
      </c>
      <c r="J14" s="76" t="s">
        <v>1180</v>
      </c>
      <c r="K14" s="80" t="s">
        <v>1174</v>
      </c>
      <c r="L14" s="75" t="s">
        <v>1230</v>
      </c>
      <c r="M14" s="75" t="s">
        <v>1238</v>
      </c>
      <c r="N14" s="75"/>
      <c r="O14" s="75" t="s">
        <v>1252</v>
      </c>
      <c r="P14" s="75"/>
      <c r="Q14" s="34"/>
    </row>
    <row r="15" spans="2:17" ht="80.099999999999994" customHeight="1" x14ac:dyDescent="0.15">
      <c r="B15" s="81">
        <v>13</v>
      </c>
      <c r="C15" s="20" t="s">
        <v>1153</v>
      </c>
      <c r="D15" s="77" t="s">
        <v>1178</v>
      </c>
      <c r="E15" s="78" t="s">
        <v>1164</v>
      </c>
      <c r="F15" s="75" t="s">
        <v>1209</v>
      </c>
      <c r="G15" s="75" t="s">
        <v>1210</v>
      </c>
      <c r="H15" s="11" t="s">
        <v>1211</v>
      </c>
      <c r="I15" s="74">
        <v>0</v>
      </c>
      <c r="J15" s="3" t="s">
        <v>1180</v>
      </c>
      <c r="K15" s="70" t="s">
        <v>1179</v>
      </c>
      <c r="L15" s="75" t="s">
        <v>1231</v>
      </c>
      <c r="M15" s="75" t="s">
        <v>1239</v>
      </c>
      <c r="N15" s="75" t="s">
        <v>1243</v>
      </c>
      <c r="O15" s="75" t="s">
        <v>1253</v>
      </c>
      <c r="P15" s="75"/>
      <c r="Q15" s="34"/>
    </row>
    <row r="16" spans="2:17" ht="80.099999999999994" customHeight="1" x14ac:dyDescent="0.15">
      <c r="B16" s="81">
        <v>14</v>
      </c>
      <c r="C16" s="20" t="s">
        <v>1153</v>
      </c>
      <c r="D16" s="77" t="s">
        <v>1175</v>
      </c>
      <c r="E16" s="78" t="s">
        <v>1165</v>
      </c>
      <c r="F16" s="11" t="s">
        <v>1212</v>
      </c>
      <c r="G16" s="11" t="s">
        <v>1213</v>
      </c>
      <c r="H16" s="11" t="s">
        <v>1214</v>
      </c>
      <c r="I16" s="81">
        <v>0</v>
      </c>
      <c r="J16" s="3" t="s">
        <v>1180</v>
      </c>
      <c r="K16" s="77" t="s">
        <v>1179</v>
      </c>
      <c r="L16" s="11" t="s">
        <v>1231</v>
      </c>
      <c r="M16" s="11" t="s">
        <v>1239</v>
      </c>
      <c r="N16" s="11" t="s">
        <v>1244</v>
      </c>
      <c r="O16" s="11" t="s">
        <v>1253</v>
      </c>
      <c r="P16" s="11"/>
      <c r="Q16" s="34"/>
    </row>
    <row r="17" spans="3:17" x14ac:dyDescent="0.15">
      <c r="C17" s="82">
        <v>0</v>
      </c>
      <c r="D17" s="20">
        <v>1</v>
      </c>
      <c r="E17" s="82">
        <v>2</v>
      </c>
      <c r="F17" s="20">
        <v>3</v>
      </c>
      <c r="G17" s="82">
        <v>4</v>
      </c>
      <c r="H17" s="20">
        <v>5</v>
      </c>
      <c r="I17" s="82">
        <v>6</v>
      </c>
      <c r="J17" s="20">
        <v>7</v>
      </c>
      <c r="K17" s="82">
        <v>8</v>
      </c>
      <c r="L17" s="20">
        <v>9</v>
      </c>
      <c r="M17" s="82">
        <v>10</v>
      </c>
      <c r="N17" s="20">
        <v>11</v>
      </c>
      <c r="O17" s="82">
        <v>12</v>
      </c>
      <c r="P17" s="20">
        <v>13</v>
      </c>
      <c r="Q17" s="82">
        <v>14</v>
      </c>
    </row>
    <row r="18" spans="3:17" x14ac:dyDescent="0.15">
      <c r="L18" s="11" t="s">
        <v>1264</v>
      </c>
      <c r="M18" s="11" t="s">
        <v>1182</v>
      </c>
      <c r="N18" s="11" t="s">
        <v>1183</v>
      </c>
      <c r="O18" s="11" t="s">
        <v>1184</v>
      </c>
      <c r="P18" s="11" t="s">
        <v>1185</v>
      </c>
    </row>
    <row r="19" spans="3:17" x14ac:dyDescent="0.15">
      <c r="D19" s="31" t="s">
        <v>1266</v>
      </c>
    </row>
    <row r="20" spans="3:17" x14ac:dyDescent="0.15">
      <c r="D20" t="s">
        <v>1265</v>
      </c>
    </row>
    <row r="21" spans="3:17" x14ac:dyDescent="0.15">
      <c r="D21" t="s">
        <v>1267</v>
      </c>
    </row>
    <row r="22" spans="3:17" x14ac:dyDescent="0.15">
      <c r="D22" t="s">
        <v>1268</v>
      </c>
    </row>
    <row r="23" spans="3:17" x14ac:dyDescent="0.15">
      <c r="D23" t="s">
        <v>1269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"/>
  <sheetViews>
    <sheetView workbookViewId="0">
      <selection activeCell="K23" sqref="K23"/>
    </sheetView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 filterMode="1">
    <pageSetUpPr fitToPage="1"/>
  </sheetPr>
  <dimension ref="B1:L71"/>
  <sheetViews>
    <sheetView tabSelected="1" zoomScale="115" zoomScaleNormal="115" workbookViewId="0">
      <selection activeCell="L76" sqref="L76"/>
    </sheetView>
  </sheetViews>
  <sheetFormatPr defaultRowHeight="13.5" x14ac:dyDescent="0.15"/>
  <cols>
    <col min="1" max="1" width="4.5" customWidth="1"/>
    <col min="2" max="2" width="18" customWidth="1"/>
    <col min="3" max="3" width="26.5" customWidth="1"/>
    <col min="4" max="4" width="5.875" customWidth="1"/>
    <col min="5" max="5" width="17" style="39" customWidth="1"/>
    <col min="6" max="6" width="24.625" style="39" customWidth="1"/>
    <col min="7" max="8" width="6.125" style="39" customWidth="1"/>
    <col min="9" max="9" width="6.25" style="39" customWidth="1"/>
    <col min="10" max="10" width="10" style="39" customWidth="1"/>
    <col min="11" max="11" width="7.5" style="39" customWidth="1"/>
    <col min="12" max="12" width="9" style="39"/>
    <col min="14" max="14" width="12.75" bestFit="1" customWidth="1"/>
  </cols>
  <sheetData>
    <row r="1" spans="2:12" x14ac:dyDescent="0.15">
      <c r="E1" s="39" t="s">
        <v>316</v>
      </c>
      <c r="F1" s="36"/>
      <c r="G1" s="36" t="s">
        <v>324</v>
      </c>
      <c r="H1" s="36" t="s">
        <v>317</v>
      </c>
      <c r="I1" s="36" t="s">
        <v>318</v>
      </c>
      <c r="J1" s="36" t="s">
        <v>319</v>
      </c>
      <c r="K1" s="36"/>
      <c r="L1" s="36" t="s">
        <v>320</v>
      </c>
    </row>
    <row r="2" spans="2:12" hidden="1" x14ac:dyDescent="0.15">
      <c r="B2" s="38" t="s">
        <v>314</v>
      </c>
      <c r="C2" s="38" t="s">
        <v>274</v>
      </c>
      <c r="D2" s="37"/>
      <c r="E2" s="36" t="s">
        <v>273</v>
      </c>
      <c r="F2" s="36" t="str">
        <f t="shared" ref="F2:F49" si="0">VLOOKUP(E2,$B$2:$C$22,2,FALSE)</f>
        <v>常压人孔</v>
      </c>
      <c r="G2" s="36" t="s">
        <v>325</v>
      </c>
      <c r="H2" s="36" t="s">
        <v>315</v>
      </c>
      <c r="I2" s="36">
        <v>400</v>
      </c>
      <c r="J2" s="36" t="s">
        <v>343</v>
      </c>
      <c r="K2" s="36"/>
      <c r="L2" s="36">
        <v>150</v>
      </c>
    </row>
    <row r="3" spans="2:12" hidden="1" x14ac:dyDescent="0.15">
      <c r="B3" s="5" t="s">
        <v>275</v>
      </c>
      <c r="C3" s="5" t="s">
        <v>305</v>
      </c>
      <c r="D3" s="37"/>
      <c r="E3" s="36" t="s">
        <v>273</v>
      </c>
      <c r="F3" s="36" t="str">
        <f t="shared" si="0"/>
        <v>常压人孔</v>
      </c>
      <c r="G3" s="36" t="s">
        <v>325</v>
      </c>
      <c r="H3" s="36" t="s">
        <v>315</v>
      </c>
      <c r="I3" s="36">
        <v>450</v>
      </c>
      <c r="J3" s="36" t="s">
        <v>344</v>
      </c>
      <c r="K3" s="36"/>
      <c r="L3" s="36">
        <v>160</v>
      </c>
    </row>
    <row r="4" spans="2:12" hidden="1" x14ac:dyDescent="0.15">
      <c r="B4" s="5" t="s">
        <v>276</v>
      </c>
      <c r="C4" s="5" t="s">
        <v>306</v>
      </c>
      <c r="D4" s="37"/>
      <c r="E4" s="36" t="s">
        <v>273</v>
      </c>
      <c r="F4" s="36" t="str">
        <f t="shared" si="0"/>
        <v>常压人孔</v>
      </c>
      <c r="G4" s="36" t="s">
        <v>325</v>
      </c>
      <c r="H4" s="36" t="s">
        <v>315</v>
      </c>
      <c r="I4" s="36">
        <v>500</v>
      </c>
      <c r="J4" s="36" t="s">
        <v>345</v>
      </c>
      <c r="K4" s="36"/>
      <c r="L4" s="36">
        <v>160</v>
      </c>
    </row>
    <row r="5" spans="2:12" hidden="1" x14ac:dyDescent="0.15">
      <c r="B5" s="5" t="s">
        <v>277</v>
      </c>
      <c r="C5" s="5" t="s">
        <v>307</v>
      </c>
      <c r="D5" s="37"/>
      <c r="E5" s="36" t="s">
        <v>273</v>
      </c>
      <c r="F5" s="36" t="str">
        <f t="shared" si="0"/>
        <v>常压人孔</v>
      </c>
      <c r="G5" s="36" t="s">
        <v>325</v>
      </c>
      <c r="H5" s="36" t="s">
        <v>315</v>
      </c>
      <c r="I5" s="36">
        <v>600</v>
      </c>
      <c r="J5" s="36" t="s">
        <v>346</v>
      </c>
      <c r="K5" s="36"/>
      <c r="L5" s="36">
        <v>180</v>
      </c>
    </row>
    <row r="6" spans="2:12" hidden="1" x14ac:dyDescent="0.15">
      <c r="B6" s="38" t="s">
        <v>321</v>
      </c>
      <c r="C6" s="38" t="s">
        <v>308</v>
      </c>
      <c r="D6" s="37"/>
      <c r="E6" s="36" t="s">
        <v>278</v>
      </c>
      <c r="F6" s="36" t="str">
        <f t="shared" si="0"/>
        <v>垂直吊盖板式平焊法兰人孔</v>
      </c>
      <c r="G6" s="36" t="s">
        <v>326</v>
      </c>
      <c r="H6" s="36" t="s">
        <v>322</v>
      </c>
      <c r="I6" s="36">
        <v>450</v>
      </c>
      <c r="J6" s="36" t="s">
        <v>344</v>
      </c>
      <c r="K6" s="36" t="s">
        <v>347</v>
      </c>
      <c r="L6" s="36">
        <v>220</v>
      </c>
    </row>
    <row r="7" spans="2:12" hidden="1" x14ac:dyDescent="0.15">
      <c r="B7" s="38" t="s">
        <v>323</v>
      </c>
      <c r="C7" s="38" t="s">
        <v>309</v>
      </c>
      <c r="D7" s="37"/>
      <c r="E7" s="36" t="s">
        <v>278</v>
      </c>
      <c r="F7" s="36" t="str">
        <f t="shared" si="0"/>
        <v>垂直吊盖板式平焊法兰人孔</v>
      </c>
      <c r="G7" s="36" t="s">
        <v>326</v>
      </c>
      <c r="H7" s="36" t="s">
        <v>322</v>
      </c>
      <c r="I7" s="36">
        <v>500</v>
      </c>
      <c r="J7" s="36" t="s">
        <v>345</v>
      </c>
      <c r="K7" s="36" t="s">
        <v>348</v>
      </c>
      <c r="L7" s="36">
        <v>230</v>
      </c>
    </row>
    <row r="8" spans="2:12" hidden="1" x14ac:dyDescent="0.15">
      <c r="B8" s="38" t="s">
        <v>280</v>
      </c>
      <c r="C8" s="38" t="s">
        <v>310</v>
      </c>
      <c r="D8" s="37"/>
      <c r="E8" s="36" t="s">
        <v>278</v>
      </c>
      <c r="F8" s="36" t="str">
        <f t="shared" si="0"/>
        <v>垂直吊盖板式平焊法兰人孔</v>
      </c>
      <c r="G8" s="36" t="s">
        <v>326</v>
      </c>
      <c r="H8" s="36" t="s">
        <v>322</v>
      </c>
      <c r="I8" s="36">
        <v>600</v>
      </c>
      <c r="J8" s="36" t="s">
        <v>346</v>
      </c>
      <c r="K8" s="36" t="s">
        <v>349</v>
      </c>
      <c r="L8" s="36">
        <v>240</v>
      </c>
    </row>
    <row r="9" spans="2:12" hidden="1" x14ac:dyDescent="0.15">
      <c r="B9" s="5" t="s">
        <v>281</v>
      </c>
      <c r="C9" s="5" t="s">
        <v>311</v>
      </c>
      <c r="D9" s="37"/>
      <c r="E9" s="36" t="s">
        <v>279</v>
      </c>
      <c r="F9" s="36" t="str">
        <f t="shared" si="0"/>
        <v>垂直吊盖带颈平焊法兰人孔</v>
      </c>
      <c r="G9" s="36" t="s">
        <v>326</v>
      </c>
      <c r="H9" s="36" t="s">
        <v>327</v>
      </c>
      <c r="I9" s="36">
        <v>450</v>
      </c>
      <c r="J9" s="36" t="s">
        <v>350</v>
      </c>
      <c r="K9" s="36" t="s">
        <v>344</v>
      </c>
      <c r="L9" s="36">
        <v>230</v>
      </c>
    </row>
    <row r="10" spans="2:12" hidden="1" x14ac:dyDescent="0.15">
      <c r="B10" s="5" t="s">
        <v>282</v>
      </c>
      <c r="C10" s="5" t="s">
        <v>312</v>
      </c>
      <c r="D10" s="37"/>
      <c r="E10" s="36" t="s">
        <v>279</v>
      </c>
      <c r="F10" s="36" t="str">
        <f t="shared" si="0"/>
        <v>垂直吊盖带颈平焊法兰人孔</v>
      </c>
      <c r="G10" s="36" t="s">
        <v>326</v>
      </c>
      <c r="H10" s="36" t="s">
        <v>327</v>
      </c>
      <c r="I10" s="36">
        <v>500</v>
      </c>
      <c r="J10" s="36" t="s">
        <v>351</v>
      </c>
      <c r="K10" s="36" t="s">
        <v>345</v>
      </c>
      <c r="L10" s="36">
        <v>250</v>
      </c>
    </row>
    <row r="11" spans="2:12" hidden="1" x14ac:dyDescent="0.15">
      <c r="B11" s="5" t="s">
        <v>283</v>
      </c>
      <c r="C11" s="5" t="s">
        <v>313</v>
      </c>
      <c r="D11" s="37"/>
      <c r="E11" s="36" t="s">
        <v>279</v>
      </c>
      <c r="F11" s="36" t="str">
        <f t="shared" si="0"/>
        <v>垂直吊盖带颈平焊法兰人孔</v>
      </c>
      <c r="G11" s="36" t="s">
        <v>326</v>
      </c>
      <c r="H11" s="36" t="s">
        <v>327</v>
      </c>
      <c r="I11" s="36">
        <v>600</v>
      </c>
      <c r="J11" s="36" t="s">
        <v>352</v>
      </c>
      <c r="K11" s="36" t="s">
        <v>346</v>
      </c>
      <c r="L11" s="36">
        <v>270</v>
      </c>
    </row>
    <row r="12" spans="2:12" hidden="1" x14ac:dyDescent="0.15">
      <c r="B12" s="5" t="s">
        <v>284</v>
      </c>
      <c r="C12" s="5" t="s">
        <v>294</v>
      </c>
      <c r="D12" s="37"/>
      <c r="E12" s="36" t="s">
        <v>279</v>
      </c>
      <c r="F12" s="36" t="str">
        <f t="shared" si="0"/>
        <v>垂直吊盖带颈平焊法兰人孔</v>
      </c>
      <c r="G12" s="36" t="s">
        <v>326</v>
      </c>
      <c r="H12" s="36" t="s">
        <v>328</v>
      </c>
      <c r="I12" s="36">
        <v>450</v>
      </c>
      <c r="J12" s="36" t="s">
        <v>353</v>
      </c>
      <c r="K12" s="36" t="s">
        <v>350</v>
      </c>
      <c r="L12" s="36">
        <v>240</v>
      </c>
    </row>
    <row r="13" spans="2:12" hidden="1" x14ac:dyDescent="0.15">
      <c r="B13" s="5" t="s">
        <v>285</v>
      </c>
      <c r="C13" s="5" t="s">
        <v>295</v>
      </c>
      <c r="D13" s="37"/>
      <c r="E13" s="36" t="s">
        <v>279</v>
      </c>
      <c r="F13" s="36" t="str">
        <f t="shared" si="0"/>
        <v>垂直吊盖带颈平焊法兰人孔</v>
      </c>
      <c r="G13" s="36" t="s">
        <v>326</v>
      </c>
      <c r="H13" s="36" t="s">
        <v>328</v>
      </c>
      <c r="I13" s="36">
        <v>500</v>
      </c>
      <c r="J13" s="36" t="s">
        <v>354</v>
      </c>
      <c r="K13" s="36" t="s">
        <v>351</v>
      </c>
      <c r="L13" s="36">
        <v>260</v>
      </c>
    </row>
    <row r="14" spans="2:12" hidden="1" x14ac:dyDescent="0.15">
      <c r="B14" s="5" t="s">
        <v>286</v>
      </c>
      <c r="C14" s="5" t="s">
        <v>296</v>
      </c>
      <c r="D14" s="37"/>
      <c r="E14" s="36" t="s">
        <v>279</v>
      </c>
      <c r="F14" s="36" t="str">
        <f t="shared" si="0"/>
        <v>垂直吊盖带颈平焊法兰人孔</v>
      </c>
      <c r="G14" s="36" t="s">
        <v>326</v>
      </c>
      <c r="H14" s="36" t="s">
        <v>328</v>
      </c>
      <c r="I14" s="36">
        <v>600</v>
      </c>
      <c r="J14" s="36" t="s">
        <v>355</v>
      </c>
      <c r="K14" s="36" t="s">
        <v>352</v>
      </c>
      <c r="L14" s="36">
        <v>280</v>
      </c>
    </row>
    <row r="15" spans="2:12" hidden="1" x14ac:dyDescent="0.15">
      <c r="B15" s="5" t="s">
        <v>334</v>
      </c>
      <c r="C15" s="5" t="s">
        <v>297</v>
      </c>
      <c r="D15" s="37"/>
      <c r="E15" s="36" t="s">
        <v>279</v>
      </c>
      <c r="F15" s="36" t="str">
        <f t="shared" si="0"/>
        <v>垂直吊盖带颈平焊法兰人孔</v>
      </c>
      <c r="G15" s="36" t="s">
        <v>324</v>
      </c>
      <c r="H15" s="36" t="s">
        <v>327</v>
      </c>
      <c r="I15" s="36">
        <v>450</v>
      </c>
      <c r="J15" s="36" t="s">
        <v>350</v>
      </c>
      <c r="K15" s="36" t="s">
        <v>344</v>
      </c>
      <c r="L15" s="36">
        <v>230</v>
      </c>
    </row>
    <row r="16" spans="2:12" hidden="1" x14ac:dyDescent="0.15">
      <c r="B16" s="38" t="s">
        <v>333</v>
      </c>
      <c r="C16" s="38" t="s">
        <v>298</v>
      </c>
      <c r="D16" s="37"/>
      <c r="E16" s="36" t="s">
        <v>279</v>
      </c>
      <c r="F16" s="36" t="str">
        <f t="shared" si="0"/>
        <v>垂直吊盖带颈平焊法兰人孔</v>
      </c>
      <c r="G16" s="36" t="s">
        <v>324</v>
      </c>
      <c r="H16" s="36" t="s">
        <v>327</v>
      </c>
      <c r="I16" s="36">
        <v>500</v>
      </c>
      <c r="J16" s="36" t="s">
        <v>351</v>
      </c>
      <c r="K16" s="36" t="s">
        <v>345</v>
      </c>
      <c r="L16" s="36">
        <v>250</v>
      </c>
    </row>
    <row r="17" spans="2:12" hidden="1" x14ac:dyDescent="0.15">
      <c r="B17" s="38" t="s">
        <v>288</v>
      </c>
      <c r="C17" s="38" t="s">
        <v>299</v>
      </c>
      <c r="D17" s="37"/>
      <c r="E17" s="36" t="s">
        <v>279</v>
      </c>
      <c r="F17" s="36" t="str">
        <f t="shared" si="0"/>
        <v>垂直吊盖带颈平焊法兰人孔</v>
      </c>
      <c r="G17" s="36" t="s">
        <v>324</v>
      </c>
      <c r="H17" s="36" t="s">
        <v>327</v>
      </c>
      <c r="I17" s="36">
        <v>600</v>
      </c>
      <c r="J17" s="36" t="s">
        <v>352</v>
      </c>
      <c r="K17" s="36" t="s">
        <v>346</v>
      </c>
      <c r="L17" s="36">
        <v>270</v>
      </c>
    </row>
    <row r="18" spans="2:12" hidden="1" x14ac:dyDescent="0.15">
      <c r="B18" s="38" t="s">
        <v>289</v>
      </c>
      <c r="C18" s="38" t="s">
        <v>300</v>
      </c>
      <c r="D18" s="37"/>
      <c r="E18" s="36" t="s">
        <v>279</v>
      </c>
      <c r="F18" s="36" t="str">
        <f t="shared" si="0"/>
        <v>垂直吊盖带颈平焊法兰人孔</v>
      </c>
      <c r="G18" s="36" t="s">
        <v>324</v>
      </c>
      <c r="H18" s="36" t="s">
        <v>328</v>
      </c>
      <c r="I18" s="36">
        <v>450</v>
      </c>
      <c r="J18" s="36" t="s">
        <v>353</v>
      </c>
      <c r="K18" s="36" t="s">
        <v>350</v>
      </c>
      <c r="L18" s="36">
        <v>240</v>
      </c>
    </row>
    <row r="19" spans="2:12" hidden="1" x14ac:dyDescent="0.15">
      <c r="B19" s="5" t="s">
        <v>290</v>
      </c>
      <c r="C19" s="5" t="s">
        <v>301</v>
      </c>
      <c r="D19" s="37"/>
      <c r="E19" s="36" t="s">
        <v>279</v>
      </c>
      <c r="F19" s="36" t="str">
        <f t="shared" si="0"/>
        <v>垂直吊盖带颈平焊法兰人孔</v>
      </c>
      <c r="G19" s="36" t="s">
        <v>324</v>
      </c>
      <c r="H19" s="36" t="s">
        <v>328</v>
      </c>
      <c r="I19" s="36">
        <v>500</v>
      </c>
      <c r="J19" s="36" t="s">
        <v>354</v>
      </c>
      <c r="K19" s="36" t="s">
        <v>351</v>
      </c>
      <c r="L19" s="36">
        <v>260</v>
      </c>
    </row>
    <row r="20" spans="2:12" hidden="1" x14ac:dyDescent="0.15">
      <c r="B20" s="5" t="s">
        <v>291</v>
      </c>
      <c r="C20" s="5" t="s">
        <v>302</v>
      </c>
      <c r="D20" s="37"/>
      <c r="E20" s="36" t="s">
        <v>279</v>
      </c>
      <c r="F20" s="36" t="str">
        <f t="shared" si="0"/>
        <v>垂直吊盖带颈平焊法兰人孔</v>
      </c>
      <c r="G20" s="36" t="s">
        <v>324</v>
      </c>
      <c r="H20" s="36" t="s">
        <v>328</v>
      </c>
      <c r="I20" s="36">
        <v>600</v>
      </c>
      <c r="J20" s="36" t="s">
        <v>355</v>
      </c>
      <c r="K20" s="36" t="s">
        <v>352</v>
      </c>
      <c r="L20" s="36">
        <v>280</v>
      </c>
    </row>
    <row r="21" spans="2:12" hidden="1" x14ac:dyDescent="0.15">
      <c r="B21" s="5" t="s">
        <v>292</v>
      </c>
      <c r="C21" s="5" t="s">
        <v>303</v>
      </c>
      <c r="D21" s="37"/>
      <c r="E21" s="36" t="s">
        <v>279</v>
      </c>
      <c r="F21" s="36" t="str">
        <f t="shared" si="0"/>
        <v>垂直吊盖带颈平焊法兰人孔</v>
      </c>
      <c r="G21" s="36" t="s">
        <v>329</v>
      </c>
      <c r="H21" s="36" t="s">
        <v>328</v>
      </c>
      <c r="I21" s="36">
        <v>450</v>
      </c>
      <c r="J21" s="36" t="s">
        <v>353</v>
      </c>
      <c r="K21" s="36" t="s">
        <v>350</v>
      </c>
      <c r="L21" s="36">
        <v>240</v>
      </c>
    </row>
    <row r="22" spans="2:12" hidden="1" x14ac:dyDescent="0.15">
      <c r="B22" s="5" t="s">
        <v>293</v>
      </c>
      <c r="C22" s="5" t="s">
        <v>304</v>
      </c>
      <c r="D22" s="37"/>
      <c r="E22" s="36" t="s">
        <v>279</v>
      </c>
      <c r="F22" s="36" t="str">
        <f t="shared" si="0"/>
        <v>垂直吊盖带颈平焊法兰人孔</v>
      </c>
      <c r="G22" s="36" t="s">
        <v>329</v>
      </c>
      <c r="H22" s="36" t="s">
        <v>328</v>
      </c>
      <c r="I22" s="36">
        <v>500</v>
      </c>
      <c r="J22" s="36" t="s">
        <v>354</v>
      </c>
      <c r="K22" s="36" t="s">
        <v>351</v>
      </c>
      <c r="L22" s="36">
        <v>260</v>
      </c>
    </row>
    <row r="23" spans="2:12" hidden="1" x14ac:dyDescent="0.15">
      <c r="E23" s="36" t="s">
        <v>332</v>
      </c>
      <c r="F23" s="36" t="str">
        <f t="shared" si="0"/>
        <v>垂直吊盖带径对焊法兰人孔</v>
      </c>
      <c r="G23" s="36" t="s">
        <v>326</v>
      </c>
      <c r="H23" s="36" t="s">
        <v>328</v>
      </c>
      <c r="I23" s="36">
        <v>450</v>
      </c>
      <c r="J23" s="36" t="s">
        <v>353</v>
      </c>
      <c r="K23" s="36"/>
      <c r="L23" s="36">
        <v>240</v>
      </c>
    </row>
    <row r="24" spans="2:12" hidden="1" x14ac:dyDescent="0.15">
      <c r="E24" s="36" t="s">
        <v>332</v>
      </c>
      <c r="F24" s="36" t="str">
        <f t="shared" si="0"/>
        <v>垂直吊盖带径对焊法兰人孔</v>
      </c>
      <c r="G24" s="36" t="s">
        <v>326</v>
      </c>
      <c r="H24" s="36" t="s">
        <v>328</v>
      </c>
      <c r="I24" s="36">
        <v>500</v>
      </c>
      <c r="J24" s="36" t="s">
        <v>356</v>
      </c>
      <c r="K24" s="36"/>
      <c r="L24" s="36">
        <v>260</v>
      </c>
    </row>
    <row r="25" spans="2:12" hidden="1" x14ac:dyDescent="0.15">
      <c r="E25" s="36" t="s">
        <v>332</v>
      </c>
      <c r="F25" s="36" t="str">
        <f t="shared" si="0"/>
        <v>垂直吊盖带径对焊法兰人孔</v>
      </c>
      <c r="G25" s="36" t="s">
        <v>326</v>
      </c>
      <c r="H25" s="36" t="s">
        <v>328</v>
      </c>
      <c r="I25" s="36">
        <v>600</v>
      </c>
      <c r="J25" s="36" t="s">
        <v>357</v>
      </c>
      <c r="K25" s="36"/>
      <c r="L25" s="36">
        <v>280</v>
      </c>
    </row>
    <row r="26" spans="2:12" hidden="1" x14ac:dyDescent="0.15">
      <c r="E26" s="36" t="s">
        <v>332</v>
      </c>
      <c r="F26" s="36" t="str">
        <f t="shared" si="0"/>
        <v>垂直吊盖带径对焊法兰人孔</v>
      </c>
      <c r="G26" s="36" t="s">
        <v>326</v>
      </c>
      <c r="H26" s="36" t="s">
        <v>330</v>
      </c>
      <c r="I26" s="36">
        <v>450</v>
      </c>
      <c r="J26" s="36" t="s">
        <v>358</v>
      </c>
      <c r="K26" s="36"/>
      <c r="L26" s="36">
        <v>250</v>
      </c>
    </row>
    <row r="27" spans="2:12" x14ac:dyDescent="0.15">
      <c r="E27" s="36" t="s">
        <v>332</v>
      </c>
      <c r="F27" s="36" t="str">
        <f t="shared" si="0"/>
        <v>垂直吊盖带径对焊法兰人孔</v>
      </c>
      <c r="G27" s="36" t="s">
        <v>326</v>
      </c>
      <c r="H27" s="36" t="s">
        <v>330</v>
      </c>
      <c r="I27" s="36">
        <v>500</v>
      </c>
      <c r="J27" s="36" t="s">
        <v>356</v>
      </c>
      <c r="K27" s="36"/>
      <c r="L27" s="36">
        <v>280</v>
      </c>
    </row>
    <row r="28" spans="2:12" x14ac:dyDescent="0.15">
      <c r="E28" s="36" t="s">
        <v>332</v>
      </c>
      <c r="F28" s="36" t="str">
        <f t="shared" si="0"/>
        <v>垂直吊盖带径对焊法兰人孔</v>
      </c>
      <c r="G28" s="36" t="s">
        <v>326</v>
      </c>
      <c r="H28" s="36" t="s">
        <v>330</v>
      </c>
      <c r="I28" s="36">
        <v>600</v>
      </c>
      <c r="J28" s="36" t="s">
        <v>357</v>
      </c>
      <c r="K28" s="36"/>
      <c r="L28" s="36">
        <v>290</v>
      </c>
    </row>
    <row r="29" spans="2:12" hidden="1" x14ac:dyDescent="0.15">
      <c r="E29" s="36" t="s">
        <v>332</v>
      </c>
      <c r="F29" s="36" t="str">
        <f t="shared" si="0"/>
        <v>垂直吊盖带径对焊法兰人孔</v>
      </c>
      <c r="G29" s="36" t="s">
        <v>326</v>
      </c>
      <c r="H29" s="36" t="s">
        <v>331</v>
      </c>
      <c r="I29" s="36">
        <v>450</v>
      </c>
      <c r="J29" s="36" t="s">
        <v>359</v>
      </c>
      <c r="K29" s="36"/>
      <c r="L29" s="36">
        <v>270</v>
      </c>
    </row>
    <row r="30" spans="2:12" hidden="1" x14ac:dyDescent="0.15">
      <c r="E30" s="36" t="s">
        <v>332</v>
      </c>
      <c r="F30" s="36" t="str">
        <f t="shared" si="0"/>
        <v>垂直吊盖带径对焊法兰人孔</v>
      </c>
      <c r="G30" s="36" t="s">
        <v>326</v>
      </c>
      <c r="H30" s="36" t="s">
        <v>331</v>
      </c>
      <c r="I30" s="36">
        <v>500</v>
      </c>
      <c r="J30" s="36" t="s">
        <v>360</v>
      </c>
      <c r="K30" s="36"/>
      <c r="L30" s="36">
        <v>290</v>
      </c>
    </row>
    <row r="31" spans="2:12" hidden="1" x14ac:dyDescent="0.15">
      <c r="E31" s="36" t="s">
        <v>332</v>
      </c>
      <c r="F31" s="36" t="str">
        <f t="shared" si="0"/>
        <v>垂直吊盖带径对焊法兰人孔</v>
      </c>
      <c r="G31" s="36" t="s">
        <v>326</v>
      </c>
      <c r="H31" s="36" t="s">
        <v>331</v>
      </c>
      <c r="I31" s="36">
        <v>600</v>
      </c>
      <c r="J31" s="36" t="s">
        <v>361</v>
      </c>
      <c r="K31" s="36"/>
      <c r="L31" s="36">
        <v>310</v>
      </c>
    </row>
    <row r="32" spans="2:12" hidden="1" x14ac:dyDescent="0.15">
      <c r="E32" s="36" t="s">
        <v>280</v>
      </c>
      <c r="F32" s="36" t="str">
        <f t="shared" si="0"/>
        <v>垂直吊盖带径对焊法兰人孔</v>
      </c>
      <c r="G32" s="36" t="s">
        <v>324</v>
      </c>
      <c r="H32" s="36" t="s">
        <v>328</v>
      </c>
      <c r="I32" s="36">
        <v>450</v>
      </c>
      <c r="J32" s="36" t="s">
        <v>353</v>
      </c>
      <c r="K32" s="36"/>
      <c r="L32" s="36">
        <v>240</v>
      </c>
    </row>
    <row r="33" spans="5:12" hidden="1" x14ac:dyDescent="0.15">
      <c r="E33" s="36" t="s">
        <v>280</v>
      </c>
      <c r="F33" s="36" t="str">
        <f t="shared" si="0"/>
        <v>垂直吊盖带径对焊法兰人孔</v>
      </c>
      <c r="G33" s="36" t="s">
        <v>324</v>
      </c>
      <c r="H33" s="36" t="s">
        <v>328</v>
      </c>
      <c r="I33" s="36">
        <v>500</v>
      </c>
      <c r="J33" s="36" t="s">
        <v>356</v>
      </c>
      <c r="K33" s="36"/>
      <c r="L33" s="36">
        <v>260</v>
      </c>
    </row>
    <row r="34" spans="5:12" hidden="1" x14ac:dyDescent="0.15">
      <c r="E34" s="36" t="s">
        <v>280</v>
      </c>
      <c r="F34" s="36" t="str">
        <f t="shared" si="0"/>
        <v>垂直吊盖带径对焊法兰人孔</v>
      </c>
      <c r="G34" s="36" t="s">
        <v>324</v>
      </c>
      <c r="H34" s="36" t="s">
        <v>328</v>
      </c>
      <c r="I34" s="36">
        <v>600</v>
      </c>
      <c r="J34" s="36" t="s">
        <v>357</v>
      </c>
      <c r="K34" s="36"/>
      <c r="L34" s="36">
        <v>280</v>
      </c>
    </row>
    <row r="35" spans="5:12" hidden="1" x14ac:dyDescent="0.15">
      <c r="E35" s="36" t="s">
        <v>280</v>
      </c>
      <c r="F35" s="36" t="str">
        <f t="shared" si="0"/>
        <v>垂直吊盖带径对焊法兰人孔</v>
      </c>
      <c r="G35" s="36" t="s">
        <v>324</v>
      </c>
      <c r="H35" s="36" t="s">
        <v>330</v>
      </c>
      <c r="I35" s="36">
        <v>450</v>
      </c>
      <c r="J35" s="36" t="s">
        <v>358</v>
      </c>
      <c r="K35" s="36"/>
      <c r="L35" s="36">
        <v>250</v>
      </c>
    </row>
    <row r="36" spans="5:12" hidden="1" x14ac:dyDescent="0.15">
      <c r="E36" s="36" t="s">
        <v>280</v>
      </c>
      <c r="F36" s="36" t="str">
        <f t="shared" si="0"/>
        <v>垂直吊盖带径对焊法兰人孔</v>
      </c>
      <c r="G36" s="36" t="s">
        <v>324</v>
      </c>
      <c r="H36" s="36" t="s">
        <v>330</v>
      </c>
      <c r="I36" s="36">
        <v>500</v>
      </c>
      <c r="J36" s="36" t="s">
        <v>356</v>
      </c>
      <c r="K36" s="36"/>
      <c r="L36" s="36">
        <v>280</v>
      </c>
    </row>
    <row r="37" spans="5:12" hidden="1" x14ac:dyDescent="0.15">
      <c r="E37" s="36" t="s">
        <v>280</v>
      </c>
      <c r="F37" s="36" t="str">
        <f t="shared" si="0"/>
        <v>垂直吊盖带径对焊法兰人孔</v>
      </c>
      <c r="G37" s="36" t="s">
        <v>324</v>
      </c>
      <c r="H37" s="36" t="s">
        <v>330</v>
      </c>
      <c r="I37" s="36">
        <v>600</v>
      </c>
      <c r="J37" s="36" t="s">
        <v>357</v>
      </c>
      <c r="K37" s="36"/>
      <c r="L37" s="36">
        <v>290</v>
      </c>
    </row>
    <row r="38" spans="5:12" hidden="1" x14ac:dyDescent="0.15">
      <c r="E38" s="36" t="s">
        <v>280</v>
      </c>
      <c r="F38" s="36" t="str">
        <f t="shared" si="0"/>
        <v>垂直吊盖带径对焊法兰人孔</v>
      </c>
      <c r="G38" s="36" t="s">
        <v>324</v>
      </c>
      <c r="H38" s="36" t="s">
        <v>331</v>
      </c>
      <c r="I38" s="36">
        <v>450</v>
      </c>
      <c r="J38" s="36" t="s">
        <v>359</v>
      </c>
      <c r="K38" s="36"/>
      <c r="L38" s="36">
        <v>270</v>
      </c>
    </row>
    <row r="39" spans="5:12" hidden="1" x14ac:dyDescent="0.15">
      <c r="E39" s="36" t="s">
        <v>280</v>
      </c>
      <c r="F39" s="36" t="str">
        <f t="shared" si="0"/>
        <v>垂直吊盖带径对焊法兰人孔</v>
      </c>
      <c r="G39" s="36" t="s">
        <v>324</v>
      </c>
      <c r="H39" s="36" t="s">
        <v>331</v>
      </c>
      <c r="I39" s="36">
        <v>500</v>
      </c>
      <c r="J39" s="36" t="s">
        <v>360</v>
      </c>
      <c r="K39" s="36"/>
      <c r="L39" s="36">
        <v>290</v>
      </c>
    </row>
    <row r="40" spans="5:12" hidden="1" x14ac:dyDescent="0.15">
      <c r="E40" s="36" t="s">
        <v>280</v>
      </c>
      <c r="F40" s="36" t="str">
        <f t="shared" si="0"/>
        <v>垂直吊盖带径对焊法兰人孔</v>
      </c>
      <c r="G40" s="36" t="s">
        <v>324</v>
      </c>
      <c r="H40" s="36" t="s">
        <v>331</v>
      </c>
      <c r="I40" s="36">
        <v>600</v>
      </c>
      <c r="J40" s="36" t="s">
        <v>361</v>
      </c>
      <c r="K40" s="36"/>
      <c r="L40" s="36">
        <v>310</v>
      </c>
    </row>
    <row r="41" spans="5:12" hidden="1" x14ac:dyDescent="0.15">
      <c r="E41" s="36" t="s">
        <v>280</v>
      </c>
      <c r="F41" s="36" t="str">
        <f t="shared" si="0"/>
        <v>垂直吊盖带径对焊法兰人孔</v>
      </c>
      <c r="G41" s="20" t="s">
        <v>329</v>
      </c>
      <c r="H41" s="36" t="s">
        <v>330</v>
      </c>
      <c r="I41" s="36">
        <v>450</v>
      </c>
      <c r="J41" s="36" t="s">
        <v>358</v>
      </c>
      <c r="K41" s="36"/>
      <c r="L41" s="36">
        <v>250</v>
      </c>
    </row>
    <row r="42" spans="5:12" hidden="1" x14ac:dyDescent="0.15">
      <c r="E42" s="36" t="s">
        <v>280</v>
      </c>
      <c r="F42" s="36" t="str">
        <f t="shared" si="0"/>
        <v>垂直吊盖带径对焊法兰人孔</v>
      </c>
      <c r="G42" s="20" t="s">
        <v>329</v>
      </c>
      <c r="H42" s="36" t="s">
        <v>330</v>
      </c>
      <c r="I42" s="36">
        <v>500</v>
      </c>
      <c r="J42" s="36" t="s">
        <v>356</v>
      </c>
      <c r="K42" s="36"/>
      <c r="L42" s="36">
        <v>280</v>
      </c>
    </row>
    <row r="43" spans="5:12" hidden="1" x14ac:dyDescent="0.15">
      <c r="E43" s="36" t="s">
        <v>280</v>
      </c>
      <c r="F43" s="36" t="str">
        <f t="shared" si="0"/>
        <v>垂直吊盖带径对焊法兰人孔</v>
      </c>
      <c r="G43" s="20" t="s">
        <v>329</v>
      </c>
      <c r="H43" s="36" t="s">
        <v>331</v>
      </c>
      <c r="I43" s="36">
        <v>450</v>
      </c>
      <c r="J43" s="36" t="s">
        <v>359</v>
      </c>
      <c r="K43" s="36"/>
      <c r="L43" s="36">
        <v>270</v>
      </c>
    </row>
    <row r="44" spans="5:12" hidden="1" x14ac:dyDescent="0.15">
      <c r="E44" s="36" t="s">
        <v>280</v>
      </c>
      <c r="F44" s="36" t="str">
        <f t="shared" si="0"/>
        <v>垂直吊盖带径对焊法兰人孔</v>
      </c>
      <c r="G44" s="36" t="s">
        <v>329</v>
      </c>
      <c r="H44" s="36" t="s">
        <v>331</v>
      </c>
      <c r="I44" s="36">
        <v>500</v>
      </c>
      <c r="J44" s="36" t="s">
        <v>360</v>
      </c>
      <c r="K44" s="36"/>
      <c r="L44" s="36">
        <v>290</v>
      </c>
    </row>
    <row r="45" spans="5:12" hidden="1" x14ac:dyDescent="0.15">
      <c r="E45" s="36" t="s">
        <v>335</v>
      </c>
      <c r="F45" s="36" t="str">
        <f t="shared" si="0"/>
        <v>常压手孔</v>
      </c>
      <c r="G45" s="36" t="s">
        <v>325</v>
      </c>
      <c r="H45" s="36" t="s">
        <v>315</v>
      </c>
      <c r="I45" s="36">
        <v>150</v>
      </c>
      <c r="J45" s="36" t="s">
        <v>362</v>
      </c>
      <c r="K45" s="36"/>
      <c r="L45" s="36">
        <v>100</v>
      </c>
    </row>
    <row r="46" spans="5:12" hidden="1" x14ac:dyDescent="0.15">
      <c r="E46" s="36" t="s">
        <v>335</v>
      </c>
      <c r="F46" s="36" t="str">
        <f t="shared" si="0"/>
        <v>常压手孔</v>
      </c>
      <c r="G46" s="36" t="s">
        <v>325</v>
      </c>
      <c r="H46" s="36" t="s">
        <v>315</v>
      </c>
      <c r="I46" s="36">
        <v>250</v>
      </c>
      <c r="J46" s="36" t="s">
        <v>363</v>
      </c>
      <c r="K46" s="36"/>
      <c r="L46" s="36">
        <v>120</v>
      </c>
    </row>
    <row r="47" spans="5:12" hidden="1" x14ac:dyDescent="0.15">
      <c r="E47" s="36" t="s">
        <v>336</v>
      </c>
      <c r="F47" s="36" t="str">
        <f t="shared" si="0"/>
        <v>板式平焊法兰手孔</v>
      </c>
      <c r="G47" s="36" t="s">
        <v>326</v>
      </c>
      <c r="H47" s="36" t="s">
        <v>322</v>
      </c>
      <c r="I47" s="36">
        <v>150</v>
      </c>
      <c r="J47" s="36" t="s">
        <v>362</v>
      </c>
      <c r="K47" s="36" t="s">
        <v>365</v>
      </c>
      <c r="L47" s="36">
        <v>160</v>
      </c>
    </row>
    <row r="48" spans="5:12" hidden="1" x14ac:dyDescent="0.15">
      <c r="E48" s="36" t="s">
        <v>287</v>
      </c>
      <c r="F48" s="36" t="str">
        <f t="shared" si="0"/>
        <v>板式平焊法兰手孔</v>
      </c>
      <c r="G48" s="36" t="s">
        <v>326</v>
      </c>
      <c r="H48" s="36" t="s">
        <v>322</v>
      </c>
      <c r="I48" s="36">
        <v>250</v>
      </c>
      <c r="J48" s="36" t="s">
        <v>364</v>
      </c>
      <c r="K48" s="36" t="s">
        <v>366</v>
      </c>
      <c r="L48" s="36">
        <v>190</v>
      </c>
    </row>
    <row r="49" spans="5:12" hidden="1" x14ac:dyDescent="0.15">
      <c r="E49" s="36" t="s">
        <v>337</v>
      </c>
      <c r="F49" s="36" t="str">
        <f t="shared" si="0"/>
        <v>带颈平焊法兰手孔</v>
      </c>
      <c r="G49" s="36" t="s">
        <v>326</v>
      </c>
      <c r="H49" s="36" t="s">
        <v>338</v>
      </c>
      <c r="I49" s="36">
        <v>150</v>
      </c>
      <c r="J49" s="36" t="s">
        <v>362</v>
      </c>
      <c r="K49" s="36" t="s">
        <v>367</v>
      </c>
      <c r="L49" s="36">
        <v>160</v>
      </c>
    </row>
    <row r="50" spans="5:12" hidden="1" x14ac:dyDescent="0.15">
      <c r="E50" s="36" t="s">
        <v>337</v>
      </c>
      <c r="F50" s="36" t="str">
        <f>VLOOKUP(E50,$B$2:$C$22,2,FALSE)</f>
        <v>带颈平焊法兰手孔</v>
      </c>
      <c r="G50" s="36" t="s">
        <v>326</v>
      </c>
      <c r="H50" s="36" t="s">
        <v>338</v>
      </c>
      <c r="I50" s="36">
        <v>250</v>
      </c>
      <c r="J50" s="36" t="s">
        <v>364</v>
      </c>
      <c r="K50" s="36" t="s">
        <v>368</v>
      </c>
      <c r="L50" s="36">
        <v>190</v>
      </c>
    </row>
    <row r="51" spans="5:12" hidden="1" x14ac:dyDescent="0.15">
      <c r="E51" s="36" t="s">
        <v>337</v>
      </c>
      <c r="F51" s="36" t="str">
        <f t="shared" ref="F51:F71" si="1">VLOOKUP(E51,$B$2:$C$22,2,FALSE)</f>
        <v>带颈平焊法兰手孔</v>
      </c>
      <c r="G51" s="36" t="s">
        <v>326</v>
      </c>
      <c r="H51" s="36" t="s">
        <v>339</v>
      </c>
      <c r="I51" s="36">
        <v>150</v>
      </c>
      <c r="J51" s="36" t="s">
        <v>369</v>
      </c>
      <c r="K51" s="36" t="s">
        <v>367</v>
      </c>
      <c r="L51" s="36">
        <v>170</v>
      </c>
    </row>
    <row r="52" spans="5:12" hidden="1" x14ac:dyDescent="0.15">
      <c r="E52" s="36" t="s">
        <v>337</v>
      </c>
      <c r="F52" s="36" t="str">
        <f t="shared" si="1"/>
        <v>带颈平焊法兰手孔</v>
      </c>
      <c r="G52" s="36" t="s">
        <v>326</v>
      </c>
      <c r="H52" s="36" t="s">
        <v>339</v>
      </c>
      <c r="I52" s="36">
        <v>250</v>
      </c>
      <c r="J52" s="36" t="s">
        <v>364</v>
      </c>
      <c r="K52" s="36" t="s">
        <v>368</v>
      </c>
      <c r="L52" s="36">
        <v>200</v>
      </c>
    </row>
    <row r="53" spans="5:12" hidden="1" x14ac:dyDescent="0.15">
      <c r="E53" s="36" t="s">
        <v>337</v>
      </c>
      <c r="F53" s="36" t="str">
        <f t="shared" si="1"/>
        <v>带颈平焊法兰手孔</v>
      </c>
      <c r="G53" s="36" t="s">
        <v>324</v>
      </c>
      <c r="H53" s="36" t="s">
        <v>338</v>
      </c>
      <c r="I53" s="36">
        <v>150</v>
      </c>
      <c r="J53" s="36" t="s">
        <v>362</v>
      </c>
      <c r="K53" s="36" t="s">
        <v>367</v>
      </c>
      <c r="L53" s="36">
        <v>160</v>
      </c>
    </row>
    <row r="54" spans="5:12" hidden="1" x14ac:dyDescent="0.15">
      <c r="E54" s="36" t="s">
        <v>337</v>
      </c>
      <c r="F54" s="36" t="str">
        <f>VLOOKUP(E54,$B$2:$C$22,2,FALSE)</f>
        <v>带颈平焊法兰手孔</v>
      </c>
      <c r="G54" s="36" t="s">
        <v>324</v>
      </c>
      <c r="H54" s="36" t="s">
        <v>338</v>
      </c>
      <c r="I54" s="36">
        <v>250</v>
      </c>
      <c r="J54" s="36" t="s">
        <v>364</v>
      </c>
      <c r="K54" s="36" t="s">
        <v>368</v>
      </c>
      <c r="L54" s="36">
        <v>190</v>
      </c>
    </row>
    <row r="55" spans="5:12" hidden="1" x14ac:dyDescent="0.15">
      <c r="E55" s="36" t="s">
        <v>337</v>
      </c>
      <c r="F55" s="36" t="str">
        <f t="shared" si="1"/>
        <v>带颈平焊法兰手孔</v>
      </c>
      <c r="G55" s="36" t="s">
        <v>324</v>
      </c>
      <c r="H55" s="36" t="s">
        <v>339</v>
      </c>
      <c r="I55" s="36">
        <v>150</v>
      </c>
      <c r="J55" s="36" t="s">
        <v>369</v>
      </c>
      <c r="K55" s="36" t="s">
        <v>367</v>
      </c>
      <c r="L55" s="36">
        <v>170</v>
      </c>
    </row>
    <row r="56" spans="5:12" hidden="1" x14ac:dyDescent="0.15">
      <c r="E56" s="36" t="s">
        <v>337</v>
      </c>
      <c r="F56" s="36" t="str">
        <f t="shared" si="1"/>
        <v>带颈平焊法兰手孔</v>
      </c>
      <c r="G56" s="36" t="s">
        <v>324</v>
      </c>
      <c r="H56" s="36" t="s">
        <v>339</v>
      </c>
      <c r="I56" s="36">
        <v>250</v>
      </c>
      <c r="J56" s="36" t="s">
        <v>364</v>
      </c>
      <c r="K56" s="36" t="s">
        <v>368</v>
      </c>
      <c r="L56" s="36">
        <v>200</v>
      </c>
    </row>
    <row r="57" spans="5:12" hidden="1" x14ac:dyDescent="0.15">
      <c r="E57" s="36" t="s">
        <v>337</v>
      </c>
      <c r="F57" s="36" t="str">
        <f t="shared" si="1"/>
        <v>带颈平焊法兰手孔</v>
      </c>
      <c r="G57" s="36" t="s">
        <v>329</v>
      </c>
      <c r="H57" s="36" t="s">
        <v>339</v>
      </c>
      <c r="I57" s="36">
        <v>150</v>
      </c>
      <c r="J57" s="36" t="s">
        <v>369</v>
      </c>
      <c r="K57" s="36" t="s">
        <v>367</v>
      </c>
      <c r="L57" s="36">
        <v>170</v>
      </c>
    </row>
    <row r="58" spans="5:12" hidden="1" x14ac:dyDescent="0.15">
      <c r="E58" s="36" t="s">
        <v>337</v>
      </c>
      <c r="F58" s="36" t="str">
        <f t="shared" si="1"/>
        <v>带颈平焊法兰手孔</v>
      </c>
      <c r="G58" s="36" t="s">
        <v>329</v>
      </c>
      <c r="H58" s="36" t="s">
        <v>339</v>
      </c>
      <c r="I58" s="36">
        <v>250</v>
      </c>
      <c r="J58" s="36" t="s">
        <v>364</v>
      </c>
      <c r="K58" s="36" t="s">
        <v>368</v>
      </c>
      <c r="L58" s="36">
        <v>200</v>
      </c>
    </row>
    <row r="59" spans="5:12" hidden="1" x14ac:dyDescent="0.15">
      <c r="E59" s="36" t="s">
        <v>340</v>
      </c>
      <c r="F59" s="36" t="str">
        <f t="shared" si="1"/>
        <v>带径对焊法兰手孔</v>
      </c>
      <c r="G59" s="20" t="s">
        <v>326</v>
      </c>
      <c r="H59" s="20" t="s">
        <v>341</v>
      </c>
      <c r="I59" s="20">
        <v>150</v>
      </c>
      <c r="J59" s="36" t="s">
        <v>369</v>
      </c>
      <c r="K59" s="36"/>
      <c r="L59" s="36">
        <v>180</v>
      </c>
    </row>
    <row r="60" spans="5:12" x14ac:dyDescent="0.15">
      <c r="E60" s="36" t="s">
        <v>340</v>
      </c>
      <c r="F60" s="36" t="str">
        <f t="shared" si="1"/>
        <v>带径对焊法兰手孔</v>
      </c>
      <c r="G60" s="20" t="s">
        <v>326</v>
      </c>
      <c r="H60" s="20" t="s">
        <v>341</v>
      </c>
      <c r="I60" s="20">
        <v>250</v>
      </c>
      <c r="J60" s="36" t="s">
        <v>364</v>
      </c>
      <c r="K60" s="36"/>
      <c r="L60" s="36">
        <v>210</v>
      </c>
    </row>
    <row r="61" spans="5:12" hidden="1" x14ac:dyDescent="0.15">
      <c r="E61" s="36" t="s">
        <v>340</v>
      </c>
      <c r="F61" s="36" t="str">
        <f t="shared" si="1"/>
        <v>带径对焊法兰手孔</v>
      </c>
      <c r="G61" s="20" t="s">
        <v>326</v>
      </c>
      <c r="H61" s="20" t="s">
        <v>331</v>
      </c>
      <c r="I61" s="20">
        <v>150</v>
      </c>
      <c r="J61" s="36" t="s">
        <v>370</v>
      </c>
      <c r="K61" s="36"/>
      <c r="L61" s="36">
        <v>190</v>
      </c>
    </row>
    <row r="62" spans="5:12" hidden="1" x14ac:dyDescent="0.15">
      <c r="E62" s="36" t="s">
        <v>340</v>
      </c>
      <c r="F62" s="36" t="str">
        <f t="shared" si="1"/>
        <v>带径对焊法兰手孔</v>
      </c>
      <c r="G62" s="20" t="s">
        <v>326</v>
      </c>
      <c r="H62" s="20" t="s">
        <v>342</v>
      </c>
      <c r="I62" s="20">
        <v>150</v>
      </c>
      <c r="J62" s="36" t="s">
        <v>371</v>
      </c>
      <c r="K62" s="36"/>
      <c r="L62" s="36">
        <v>200</v>
      </c>
    </row>
    <row r="63" spans="5:12" hidden="1" x14ac:dyDescent="0.15">
      <c r="E63" s="36" t="s">
        <v>340</v>
      </c>
      <c r="F63" s="36" t="str">
        <f t="shared" si="1"/>
        <v>带径对焊法兰手孔</v>
      </c>
      <c r="G63" s="20" t="s">
        <v>324</v>
      </c>
      <c r="H63" s="20" t="s">
        <v>341</v>
      </c>
      <c r="I63" s="20">
        <v>150</v>
      </c>
      <c r="J63" s="36" t="s">
        <v>369</v>
      </c>
      <c r="K63" s="36"/>
      <c r="L63" s="36">
        <v>180</v>
      </c>
    </row>
    <row r="64" spans="5:12" hidden="1" x14ac:dyDescent="0.15">
      <c r="E64" s="36" t="s">
        <v>340</v>
      </c>
      <c r="F64" s="36" t="str">
        <f t="shared" si="1"/>
        <v>带径对焊法兰手孔</v>
      </c>
      <c r="G64" s="20" t="s">
        <v>324</v>
      </c>
      <c r="H64" s="20" t="s">
        <v>341</v>
      </c>
      <c r="I64" s="20">
        <v>250</v>
      </c>
      <c r="J64" s="36" t="s">
        <v>364</v>
      </c>
      <c r="K64" s="36"/>
      <c r="L64" s="36">
        <v>210</v>
      </c>
    </row>
    <row r="65" spans="5:12" hidden="1" x14ac:dyDescent="0.15">
      <c r="E65" s="36" t="s">
        <v>340</v>
      </c>
      <c r="F65" s="36" t="str">
        <f t="shared" si="1"/>
        <v>带径对焊法兰手孔</v>
      </c>
      <c r="G65" s="20" t="s">
        <v>324</v>
      </c>
      <c r="H65" s="20" t="s">
        <v>331</v>
      </c>
      <c r="I65" s="20">
        <v>150</v>
      </c>
      <c r="J65" s="36" t="s">
        <v>370</v>
      </c>
      <c r="K65" s="36"/>
      <c r="L65" s="36">
        <v>190</v>
      </c>
    </row>
    <row r="66" spans="5:12" hidden="1" x14ac:dyDescent="0.15">
      <c r="E66" s="36" t="s">
        <v>340</v>
      </c>
      <c r="F66" s="36" t="str">
        <f t="shared" si="1"/>
        <v>带径对焊法兰手孔</v>
      </c>
      <c r="G66" s="20" t="s">
        <v>324</v>
      </c>
      <c r="H66" s="20" t="s">
        <v>342</v>
      </c>
      <c r="I66" s="20">
        <v>150</v>
      </c>
      <c r="J66" s="36" t="s">
        <v>371</v>
      </c>
      <c r="K66" s="36"/>
      <c r="L66" s="36">
        <v>200</v>
      </c>
    </row>
    <row r="67" spans="5:12" hidden="1" x14ac:dyDescent="0.15">
      <c r="E67" s="36" t="s">
        <v>340</v>
      </c>
      <c r="F67" s="36" t="str">
        <f t="shared" si="1"/>
        <v>带径对焊法兰手孔</v>
      </c>
      <c r="G67" s="20" t="s">
        <v>329</v>
      </c>
      <c r="H67" s="20" t="s">
        <v>341</v>
      </c>
      <c r="I67" s="20">
        <v>150</v>
      </c>
      <c r="J67" s="36" t="s">
        <v>369</v>
      </c>
      <c r="K67" s="36"/>
      <c r="L67" s="36">
        <v>180</v>
      </c>
    </row>
    <row r="68" spans="5:12" hidden="1" x14ac:dyDescent="0.15">
      <c r="E68" s="36" t="s">
        <v>340</v>
      </c>
      <c r="F68" s="36" t="str">
        <f t="shared" si="1"/>
        <v>带径对焊法兰手孔</v>
      </c>
      <c r="G68" s="20" t="s">
        <v>329</v>
      </c>
      <c r="H68" s="20" t="s">
        <v>341</v>
      </c>
      <c r="I68" s="20">
        <v>250</v>
      </c>
      <c r="J68" s="36" t="s">
        <v>364</v>
      </c>
      <c r="K68" s="36"/>
      <c r="L68" s="36">
        <v>210</v>
      </c>
    </row>
    <row r="69" spans="5:12" hidden="1" x14ac:dyDescent="0.15">
      <c r="E69" s="36" t="s">
        <v>340</v>
      </c>
      <c r="F69" s="36" t="str">
        <f t="shared" si="1"/>
        <v>带径对焊法兰手孔</v>
      </c>
      <c r="G69" s="20" t="s">
        <v>329</v>
      </c>
      <c r="H69" s="20" t="s">
        <v>331</v>
      </c>
      <c r="I69" s="20">
        <v>150</v>
      </c>
      <c r="J69" s="36" t="s">
        <v>370</v>
      </c>
      <c r="K69" s="36"/>
      <c r="L69" s="36">
        <v>190</v>
      </c>
    </row>
    <row r="70" spans="5:12" hidden="1" x14ac:dyDescent="0.15">
      <c r="E70" s="36" t="s">
        <v>340</v>
      </c>
      <c r="F70" s="36" t="str">
        <f t="shared" si="1"/>
        <v>带径对焊法兰手孔</v>
      </c>
      <c r="G70" s="20" t="s">
        <v>329</v>
      </c>
      <c r="H70" s="20" t="s">
        <v>342</v>
      </c>
      <c r="I70" s="20">
        <v>150</v>
      </c>
      <c r="J70" s="36" t="s">
        <v>371</v>
      </c>
      <c r="K70" s="36"/>
      <c r="L70" s="36">
        <v>200</v>
      </c>
    </row>
    <row r="71" spans="5:12" hidden="1" x14ac:dyDescent="0.15">
      <c r="E71" s="36" t="s">
        <v>340</v>
      </c>
      <c r="F71" s="36" t="str">
        <f t="shared" si="1"/>
        <v>带径对焊法兰手孔</v>
      </c>
      <c r="G71" s="20" t="s">
        <v>372</v>
      </c>
      <c r="H71" s="20" t="s">
        <v>342</v>
      </c>
      <c r="I71" s="20">
        <v>150</v>
      </c>
      <c r="J71" s="36" t="s">
        <v>371</v>
      </c>
      <c r="K71" s="36"/>
      <c r="L71" s="36">
        <v>200</v>
      </c>
    </row>
  </sheetData>
  <autoFilter ref="E1:L71">
    <filterColumn colId="2">
      <filters>
        <filter val="RF"/>
      </filters>
    </filterColumn>
    <filterColumn colId="3">
      <filters>
        <filter val="PN25"/>
      </filters>
    </filterColumn>
    <filterColumn colId="4">
      <filters>
        <filter val="250"/>
        <filter val="500"/>
        <filter val="600"/>
      </filters>
    </filterColumn>
  </autoFilter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B1:AB14"/>
  <sheetViews>
    <sheetView topLeftCell="B7" zoomScale="70" zoomScaleNormal="70" workbookViewId="0">
      <selection activeCell="S9" sqref="S9"/>
    </sheetView>
  </sheetViews>
  <sheetFormatPr defaultColWidth="9" defaultRowHeight="15.95" customHeight="1" x14ac:dyDescent="0.15"/>
  <cols>
    <col min="1" max="1" width="3.875" style="4" customWidth="1"/>
    <col min="2" max="2" width="6" style="4" customWidth="1"/>
    <col min="3" max="3" width="17.375" style="4" customWidth="1"/>
    <col min="4" max="4" width="17.25" style="4" customWidth="1"/>
    <col min="5" max="5" width="10.375" style="4" customWidth="1"/>
    <col min="6" max="6" width="15" style="4" customWidth="1"/>
    <col min="7" max="7" width="11.25" style="4" customWidth="1"/>
    <col min="8" max="8" width="10.375" style="4" customWidth="1"/>
    <col min="9" max="9" width="12" style="4" customWidth="1"/>
    <col min="10" max="10" width="10" style="4" customWidth="1"/>
    <col min="11" max="12" width="9" style="4" customWidth="1"/>
    <col min="13" max="13" width="12.125" style="4" customWidth="1"/>
    <col min="14" max="21" width="9" style="4"/>
    <col min="22" max="22" width="9.5" style="4" bestFit="1" customWidth="1"/>
    <col min="23" max="16384" width="9" style="4"/>
  </cols>
  <sheetData>
    <row r="1" spans="2:28" ht="15.95" customHeight="1" x14ac:dyDescent="0.15">
      <c r="B1" s="4">
        <f>COUNTA(B3:B13)</f>
        <v>11</v>
      </c>
      <c r="C1" s="6">
        <f>COUNTA(B2:AB2)</f>
        <v>27</v>
      </c>
      <c r="D1" s="88"/>
      <c r="E1" s="88"/>
      <c r="G1" s="10" t="s">
        <v>151</v>
      </c>
      <c r="H1" s="10" t="s">
        <v>152</v>
      </c>
      <c r="I1" s="10" t="s">
        <v>882</v>
      </c>
      <c r="J1" s="10" t="s">
        <v>883</v>
      </c>
      <c r="K1" s="2"/>
      <c r="L1" s="2" t="s">
        <v>157</v>
      </c>
      <c r="M1" s="2" t="s">
        <v>129</v>
      </c>
      <c r="N1" s="2" t="s">
        <v>130</v>
      </c>
      <c r="O1" s="2" t="s">
        <v>131</v>
      </c>
      <c r="P1" s="2" t="s">
        <v>132</v>
      </c>
      <c r="Q1" s="2" t="s">
        <v>133</v>
      </c>
      <c r="R1" s="2" t="s">
        <v>134</v>
      </c>
      <c r="S1" s="2" t="s">
        <v>135</v>
      </c>
      <c r="T1" s="2" t="s">
        <v>158</v>
      </c>
      <c r="U1" s="2" t="s">
        <v>159</v>
      </c>
      <c r="V1" s="2" t="s">
        <v>160</v>
      </c>
      <c r="W1" s="2" t="s">
        <v>161</v>
      </c>
      <c r="X1" s="2" t="s">
        <v>162</v>
      </c>
      <c r="Y1" s="2" t="s">
        <v>163</v>
      </c>
      <c r="Z1" s="2" t="s">
        <v>164</v>
      </c>
    </row>
    <row r="2" spans="2:28" ht="15.95" customHeight="1" x14ac:dyDescent="0.15">
      <c r="B2" s="9" t="s">
        <v>12</v>
      </c>
      <c r="C2" s="9" t="s">
        <v>22</v>
      </c>
      <c r="D2" s="2" t="s">
        <v>4</v>
      </c>
      <c r="E2" s="2" t="s">
        <v>5</v>
      </c>
      <c r="F2" s="2" t="s">
        <v>21</v>
      </c>
      <c r="G2" s="12" t="s">
        <v>46</v>
      </c>
      <c r="H2" s="12" t="s">
        <v>47</v>
      </c>
      <c r="I2" s="12" t="s">
        <v>884</v>
      </c>
      <c r="J2" s="12" t="s">
        <v>885</v>
      </c>
      <c r="K2" s="11" t="s">
        <v>156</v>
      </c>
      <c r="L2" s="11" t="s">
        <v>165</v>
      </c>
      <c r="M2" s="12">
        <v>1</v>
      </c>
      <c r="N2" s="12">
        <v>2</v>
      </c>
      <c r="O2" s="12">
        <v>3</v>
      </c>
      <c r="P2" s="12">
        <v>4</v>
      </c>
      <c r="Q2" s="12">
        <v>5</v>
      </c>
      <c r="R2" s="12">
        <v>6</v>
      </c>
      <c r="S2" s="12">
        <v>7</v>
      </c>
      <c r="T2" s="12">
        <v>8</v>
      </c>
      <c r="U2" s="12">
        <v>9</v>
      </c>
      <c r="V2" s="12">
        <v>10</v>
      </c>
      <c r="W2" s="12">
        <v>11</v>
      </c>
      <c r="X2" s="12">
        <v>12</v>
      </c>
      <c r="Y2" s="12">
        <v>13</v>
      </c>
      <c r="Z2" s="3">
        <v>14</v>
      </c>
      <c r="AA2" s="25" t="s">
        <v>180</v>
      </c>
      <c r="AB2" s="25" t="s">
        <v>262</v>
      </c>
    </row>
    <row r="3" spans="2:28" ht="50.1" customHeight="1" x14ac:dyDescent="0.15">
      <c r="B3" s="9">
        <v>1</v>
      </c>
      <c r="C3" s="9" t="s">
        <v>23</v>
      </c>
      <c r="D3" s="2" t="s">
        <v>6</v>
      </c>
      <c r="E3" s="2" t="s">
        <v>14</v>
      </c>
      <c r="F3" s="2" t="s">
        <v>121</v>
      </c>
      <c r="G3" s="12">
        <v>0</v>
      </c>
      <c r="H3" s="12">
        <v>0</v>
      </c>
      <c r="I3" s="12" t="s">
        <v>1060</v>
      </c>
      <c r="J3" s="12">
        <v>0</v>
      </c>
      <c r="K3" s="11" t="s">
        <v>167</v>
      </c>
      <c r="L3" s="11" t="s">
        <v>166</v>
      </c>
      <c r="M3" s="12" t="s">
        <v>1076</v>
      </c>
      <c r="N3" s="12" t="s">
        <v>1077</v>
      </c>
      <c r="O3" s="14" t="s">
        <v>1078</v>
      </c>
      <c r="P3" s="3" t="s">
        <v>1079</v>
      </c>
      <c r="Q3" s="14" t="s">
        <v>1080</v>
      </c>
      <c r="R3" s="15" t="s">
        <v>1081</v>
      </c>
      <c r="S3" s="3"/>
      <c r="T3" s="9"/>
      <c r="U3" s="9"/>
      <c r="V3" s="9"/>
      <c r="W3" s="9"/>
      <c r="X3" s="9"/>
      <c r="Y3" s="9"/>
      <c r="Z3" s="69"/>
      <c r="AA3" s="72"/>
      <c r="AB3" s="72"/>
    </row>
    <row r="4" spans="2:28" ht="50.1" customHeight="1" x14ac:dyDescent="0.15">
      <c r="B4" s="9">
        <v>2</v>
      </c>
      <c r="C4" s="9" t="s">
        <v>23</v>
      </c>
      <c r="D4" s="2" t="s">
        <v>6</v>
      </c>
      <c r="E4" s="2" t="s">
        <v>15</v>
      </c>
      <c r="F4" s="2" t="s">
        <v>121</v>
      </c>
      <c r="G4" s="12">
        <v>0</v>
      </c>
      <c r="H4" s="12">
        <v>0</v>
      </c>
      <c r="I4" s="12" t="s">
        <v>1060</v>
      </c>
      <c r="J4" s="11" t="s">
        <v>1070</v>
      </c>
      <c r="K4" s="11" t="s">
        <v>167</v>
      </c>
      <c r="L4" s="11" t="s">
        <v>166</v>
      </c>
      <c r="M4" s="12" t="s">
        <v>1082</v>
      </c>
      <c r="N4" s="12" t="s">
        <v>1077</v>
      </c>
      <c r="O4" s="14" t="s">
        <v>1083</v>
      </c>
      <c r="P4" s="3" t="s">
        <v>1084</v>
      </c>
      <c r="Q4" s="14" t="s">
        <v>1080</v>
      </c>
      <c r="R4" s="15" t="s">
        <v>1085</v>
      </c>
      <c r="S4" s="9"/>
      <c r="T4" s="9"/>
      <c r="U4" s="9"/>
      <c r="V4" s="9"/>
      <c r="W4" s="9"/>
      <c r="X4" s="9"/>
      <c r="Y4" s="9"/>
      <c r="Z4" s="69"/>
      <c r="AA4" s="72"/>
      <c r="AB4" s="72"/>
    </row>
    <row r="5" spans="2:28" ht="50.1" customHeight="1" x14ac:dyDescent="0.15">
      <c r="B5" s="9">
        <v>3</v>
      </c>
      <c r="C5" s="9" t="s">
        <v>23</v>
      </c>
      <c r="D5" s="2" t="s">
        <v>7</v>
      </c>
      <c r="E5" s="2" t="s">
        <v>8</v>
      </c>
      <c r="F5" s="2" t="s">
        <v>122</v>
      </c>
      <c r="G5" s="12">
        <v>0</v>
      </c>
      <c r="H5" s="12">
        <v>0</v>
      </c>
      <c r="I5" s="11" t="s">
        <v>1061</v>
      </c>
      <c r="J5" s="11" t="s">
        <v>1071</v>
      </c>
      <c r="K5" s="11" t="s">
        <v>167</v>
      </c>
      <c r="L5" s="11" t="s">
        <v>166</v>
      </c>
      <c r="M5" s="17" t="s">
        <v>1086</v>
      </c>
      <c r="N5" s="11" t="s">
        <v>1087</v>
      </c>
      <c r="O5" s="11" t="s">
        <v>1088</v>
      </c>
      <c r="P5" s="11" t="s">
        <v>1089</v>
      </c>
      <c r="Q5" s="17" t="s">
        <v>1090</v>
      </c>
      <c r="R5" s="11" t="s">
        <v>1091</v>
      </c>
      <c r="S5" s="9"/>
      <c r="T5" s="9"/>
      <c r="U5" s="9"/>
      <c r="V5" s="9"/>
      <c r="W5" s="9"/>
      <c r="X5" s="9"/>
      <c r="Y5" s="9"/>
      <c r="Z5" s="69"/>
      <c r="AA5" s="72"/>
      <c r="AB5" s="72"/>
    </row>
    <row r="6" spans="2:28" ht="50.1" customHeight="1" x14ac:dyDescent="0.15">
      <c r="B6" s="9">
        <v>4</v>
      </c>
      <c r="C6" s="9" t="s">
        <v>23</v>
      </c>
      <c r="D6" s="2" t="s">
        <v>9</v>
      </c>
      <c r="E6" s="2" t="s">
        <v>10</v>
      </c>
      <c r="F6" s="2" t="s">
        <v>123</v>
      </c>
      <c r="G6" s="12">
        <v>0</v>
      </c>
      <c r="H6" s="12">
        <v>0</v>
      </c>
      <c r="I6" s="11" t="s">
        <v>1062</v>
      </c>
      <c r="J6" s="11" t="s">
        <v>1072</v>
      </c>
      <c r="K6" s="11" t="s">
        <v>167</v>
      </c>
      <c r="L6" s="11" t="s">
        <v>166</v>
      </c>
      <c r="M6" s="11" t="s">
        <v>1092</v>
      </c>
      <c r="N6" s="11" t="s">
        <v>1151</v>
      </c>
      <c r="O6" s="11" t="s">
        <v>1093</v>
      </c>
      <c r="P6" s="11" t="s">
        <v>1094</v>
      </c>
      <c r="Q6" s="11" t="s">
        <v>1095</v>
      </c>
      <c r="R6" s="17" t="s">
        <v>1096</v>
      </c>
      <c r="S6" s="11" t="s">
        <v>1097</v>
      </c>
      <c r="T6" s="11" t="s">
        <v>1098</v>
      </c>
      <c r="U6" s="17" t="s">
        <v>1099</v>
      </c>
      <c r="V6" s="17" t="s">
        <v>1100</v>
      </c>
      <c r="W6" s="11" t="s">
        <v>1101</v>
      </c>
      <c r="X6" s="11" t="s">
        <v>1102</v>
      </c>
      <c r="Y6" s="11" t="s">
        <v>1103</v>
      </c>
      <c r="Z6" s="11" t="s">
        <v>1104</v>
      </c>
      <c r="AA6" s="72"/>
      <c r="AB6" s="72"/>
    </row>
    <row r="7" spans="2:28" ht="50.1" customHeight="1" x14ac:dyDescent="0.15">
      <c r="B7" s="9">
        <v>5</v>
      </c>
      <c r="C7" s="9" t="s">
        <v>23</v>
      </c>
      <c r="D7" s="2" t="s">
        <v>11</v>
      </c>
      <c r="E7" s="2" t="s">
        <v>16</v>
      </c>
      <c r="F7" s="2" t="s">
        <v>124</v>
      </c>
      <c r="G7" s="12">
        <v>0</v>
      </c>
      <c r="H7" s="12">
        <v>0</v>
      </c>
      <c r="I7" s="11" t="s">
        <v>1063</v>
      </c>
      <c r="J7" s="11" t="s">
        <v>1073</v>
      </c>
      <c r="K7" s="11" t="s">
        <v>167</v>
      </c>
      <c r="L7" s="11" t="s">
        <v>166</v>
      </c>
      <c r="M7" s="19"/>
      <c r="N7" s="19"/>
      <c r="O7" s="19" t="s">
        <v>1105</v>
      </c>
      <c r="P7" s="19" t="s">
        <v>1106</v>
      </c>
      <c r="Q7" s="19" t="s">
        <v>1107</v>
      </c>
      <c r="R7" s="18" t="s">
        <v>1108</v>
      </c>
      <c r="S7" s="19" t="s">
        <v>1109</v>
      </c>
      <c r="T7" s="19" t="s">
        <v>1110</v>
      </c>
      <c r="U7" s="2"/>
      <c r="V7" s="2"/>
      <c r="W7" s="2"/>
      <c r="X7" s="2"/>
      <c r="Y7" s="2"/>
      <c r="Z7" s="2"/>
      <c r="AA7" s="72"/>
      <c r="AB7" s="72"/>
    </row>
    <row r="8" spans="2:28" ht="50.1" customHeight="1" x14ac:dyDescent="0.15">
      <c r="B8" s="9">
        <v>6</v>
      </c>
      <c r="C8" s="9" t="s">
        <v>23</v>
      </c>
      <c r="D8" s="2" t="s">
        <v>11</v>
      </c>
      <c r="E8" s="2" t="s">
        <v>17</v>
      </c>
      <c r="F8" s="2" t="s">
        <v>125</v>
      </c>
      <c r="G8" s="12">
        <v>0</v>
      </c>
      <c r="H8" s="12">
        <v>0</v>
      </c>
      <c r="I8" s="11" t="s">
        <v>1064</v>
      </c>
      <c r="J8" s="11" t="s">
        <v>1073</v>
      </c>
      <c r="K8" s="11" t="s">
        <v>167</v>
      </c>
      <c r="L8" s="11" t="s">
        <v>166</v>
      </c>
      <c r="M8" s="19"/>
      <c r="N8" s="19"/>
      <c r="O8" s="19" t="s">
        <v>1111</v>
      </c>
      <c r="P8" s="19" t="s">
        <v>1112</v>
      </c>
      <c r="Q8" s="19" t="s">
        <v>1113</v>
      </c>
      <c r="R8" s="18" t="s">
        <v>1114</v>
      </c>
      <c r="S8" s="19" t="s">
        <v>1115</v>
      </c>
      <c r="T8" s="19" t="s">
        <v>1116</v>
      </c>
      <c r="U8" s="2"/>
      <c r="V8" s="2"/>
      <c r="W8" s="2"/>
      <c r="X8" s="2"/>
      <c r="Y8" s="2"/>
      <c r="Z8" s="2"/>
      <c r="AA8" s="72"/>
      <c r="AB8" s="72"/>
    </row>
    <row r="9" spans="2:28" ht="50.1" customHeight="1" x14ac:dyDescent="0.15">
      <c r="B9" s="9">
        <v>7</v>
      </c>
      <c r="C9" s="9" t="s">
        <v>23</v>
      </c>
      <c r="D9" s="2" t="s">
        <v>11</v>
      </c>
      <c r="E9" s="2" t="s">
        <v>18</v>
      </c>
      <c r="F9" s="2" t="s">
        <v>128</v>
      </c>
      <c r="G9" s="12">
        <v>0</v>
      </c>
      <c r="H9" s="12">
        <v>0</v>
      </c>
      <c r="I9" s="11" t="s">
        <v>1065</v>
      </c>
      <c r="J9" s="11" t="s">
        <v>1074</v>
      </c>
      <c r="K9" s="11" t="s">
        <v>167</v>
      </c>
      <c r="L9" s="11" t="s">
        <v>166</v>
      </c>
      <c r="M9" s="19"/>
      <c r="N9" s="19" t="s">
        <v>1117</v>
      </c>
      <c r="O9" s="19" t="s">
        <v>1118</v>
      </c>
      <c r="P9" s="19" t="s">
        <v>1119</v>
      </c>
      <c r="Q9" s="19" t="s">
        <v>1120</v>
      </c>
      <c r="R9" s="18" t="s">
        <v>1121</v>
      </c>
      <c r="S9" s="19" t="s">
        <v>1122</v>
      </c>
      <c r="T9" s="19" t="s">
        <v>1123</v>
      </c>
      <c r="U9" s="2"/>
      <c r="V9" s="2"/>
      <c r="W9" s="2"/>
      <c r="X9" s="2"/>
      <c r="Y9" s="2"/>
      <c r="Z9" s="2"/>
      <c r="AA9" s="72"/>
      <c r="AB9" s="72"/>
    </row>
    <row r="10" spans="2:28" ht="50.1" customHeight="1" x14ac:dyDescent="0.15">
      <c r="B10" s="9">
        <v>8</v>
      </c>
      <c r="C10" s="9" t="s">
        <v>23</v>
      </c>
      <c r="D10" s="2" t="s">
        <v>13</v>
      </c>
      <c r="E10" s="2" t="s">
        <v>19</v>
      </c>
      <c r="F10" s="2" t="s">
        <v>126</v>
      </c>
      <c r="G10" s="12">
        <v>0</v>
      </c>
      <c r="H10" s="12">
        <v>0</v>
      </c>
      <c r="I10" s="11" t="s">
        <v>1066</v>
      </c>
      <c r="J10" s="9">
        <v>0</v>
      </c>
      <c r="K10" s="11" t="s">
        <v>167</v>
      </c>
      <c r="L10" s="11" t="s">
        <v>166</v>
      </c>
      <c r="M10" s="19" t="s">
        <v>1124</v>
      </c>
      <c r="N10" s="19" t="s">
        <v>1125</v>
      </c>
      <c r="O10" s="19" t="s">
        <v>1126</v>
      </c>
      <c r="P10" s="18" t="s">
        <v>1127</v>
      </c>
      <c r="Q10" s="19" t="s">
        <v>1128</v>
      </c>
      <c r="R10" s="19" t="s">
        <v>1129</v>
      </c>
      <c r="S10" s="20"/>
      <c r="T10" s="20"/>
      <c r="U10" s="9"/>
      <c r="V10" s="9"/>
      <c r="W10" s="9"/>
      <c r="X10" s="9"/>
      <c r="Y10" s="9"/>
      <c r="Z10" s="69"/>
      <c r="AA10" s="72"/>
      <c r="AB10" s="72"/>
    </row>
    <row r="11" spans="2:28" ht="50.1" customHeight="1" x14ac:dyDescent="0.15">
      <c r="B11" s="9">
        <v>9</v>
      </c>
      <c r="C11" s="9" t="s">
        <v>23</v>
      </c>
      <c r="D11" s="2" t="s">
        <v>13</v>
      </c>
      <c r="E11" s="2" t="s">
        <v>20</v>
      </c>
      <c r="F11" s="2" t="s">
        <v>127</v>
      </c>
      <c r="G11" s="12">
        <v>0</v>
      </c>
      <c r="H11" s="12">
        <v>0</v>
      </c>
      <c r="I11" s="11" t="s">
        <v>1067</v>
      </c>
      <c r="J11" s="9">
        <v>0</v>
      </c>
      <c r="K11" s="11" t="s">
        <v>167</v>
      </c>
      <c r="L11" s="11" t="s">
        <v>166</v>
      </c>
      <c r="M11" s="19" t="s">
        <v>1130</v>
      </c>
      <c r="N11" s="19" t="s">
        <v>1131</v>
      </c>
      <c r="O11" s="19" t="s">
        <v>1132</v>
      </c>
      <c r="P11" s="18" t="s">
        <v>1133</v>
      </c>
      <c r="Q11" s="19" t="s">
        <v>1134</v>
      </c>
      <c r="R11" s="19" t="s">
        <v>1135</v>
      </c>
      <c r="S11" s="20"/>
      <c r="T11" s="20"/>
      <c r="U11" s="9"/>
      <c r="V11" s="9"/>
      <c r="W11" s="9"/>
      <c r="X11" s="9"/>
      <c r="Y11" s="9"/>
      <c r="Z11" s="69"/>
      <c r="AA11" s="72"/>
      <c r="AB11" s="72"/>
    </row>
    <row r="12" spans="2:28" s="16" customFormat="1" ht="51" customHeight="1" x14ac:dyDescent="0.15">
      <c r="B12" s="9">
        <v>10</v>
      </c>
      <c r="C12" s="9" t="s">
        <v>170</v>
      </c>
      <c r="D12" s="2" t="s">
        <v>169</v>
      </c>
      <c r="E12" s="13" t="s">
        <v>170</v>
      </c>
      <c r="F12" s="2" t="s">
        <v>168</v>
      </c>
      <c r="G12" s="12">
        <v>0</v>
      </c>
      <c r="H12" s="12">
        <v>0</v>
      </c>
      <c r="I12" s="12" t="s">
        <v>1068</v>
      </c>
      <c r="J12" s="12">
        <v>0</v>
      </c>
      <c r="K12" s="11"/>
      <c r="L12" s="11"/>
      <c r="M12" s="12" t="s">
        <v>1136</v>
      </c>
      <c r="N12" s="12" t="s">
        <v>1137</v>
      </c>
      <c r="O12" s="14" t="s">
        <v>1138</v>
      </c>
      <c r="P12" s="3" t="s">
        <v>1139</v>
      </c>
      <c r="Q12" s="14" t="s">
        <v>1140</v>
      </c>
      <c r="R12" s="15"/>
      <c r="S12" s="13"/>
      <c r="T12" s="13"/>
      <c r="U12" s="13"/>
      <c r="V12" s="13"/>
      <c r="W12" s="13"/>
      <c r="X12" s="13"/>
      <c r="Y12" s="13"/>
      <c r="Z12" s="69"/>
      <c r="AA12" s="73"/>
      <c r="AB12" s="73"/>
    </row>
    <row r="13" spans="2:28" ht="41.25" customHeight="1" x14ac:dyDescent="0.15">
      <c r="B13" s="13">
        <v>11</v>
      </c>
      <c r="C13" s="13" t="s">
        <v>172</v>
      </c>
      <c r="D13" s="2" t="s">
        <v>173</v>
      </c>
      <c r="E13" s="13" t="s">
        <v>172</v>
      </c>
      <c r="F13" s="2" t="s">
        <v>171</v>
      </c>
      <c r="G13" s="12">
        <v>0</v>
      </c>
      <c r="H13" s="12">
        <v>0</v>
      </c>
      <c r="I13" s="11" t="s">
        <v>1069</v>
      </c>
      <c r="J13" s="11" t="s">
        <v>1075</v>
      </c>
      <c r="K13" s="11"/>
      <c r="L13" s="11"/>
      <c r="M13" s="18" t="s">
        <v>1141</v>
      </c>
      <c r="N13" s="19" t="s">
        <v>1142</v>
      </c>
      <c r="O13" s="19" t="s">
        <v>1143</v>
      </c>
      <c r="P13" s="19" t="s">
        <v>1144</v>
      </c>
      <c r="Q13" s="18" t="s">
        <v>1145</v>
      </c>
      <c r="R13" s="19" t="s">
        <v>1146</v>
      </c>
      <c r="S13" s="19" t="s">
        <v>1147</v>
      </c>
      <c r="T13" s="19" t="s">
        <v>1148</v>
      </c>
      <c r="U13" s="19" t="s">
        <v>1149</v>
      </c>
      <c r="V13" s="19"/>
      <c r="W13" s="19"/>
      <c r="X13" s="19"/>
      <c r="Y13" s="19"/>
      <c r="Z13" s="68" t="s">
        <v>1150</v>
      </c>
      <c r="AA13" s="72"/>
      <c r="AB13" s="72"/>
    </row>
    <row r="14" spans="2:28" ht="15.95" customHeight="1" x14ac:dyDescent="0.15">
      <c r="B14" s="4">
        <v>0</v>
      </c>
      <c r="C14" s="4">
        <v>1</v>
      </c>
      <c r="D14" s="4">
        <v>2</v>
      </c>
      <c r="E14" s="4">
        <v>3</v>
      </c>
      <c r="F14" s="4">
        <v>4</v>
      </c>
      <c r="G14" s="4">
        <v>5</v>
      </c>
      <c r="H14" s="4">
        <v>6</v>
      </c>
      <c r="I14" s="4">
        <v>7</v>
      </c>
      <c r="J14" s="4">
        <v>8</v>
      </c>
      <c r="K14" s="4">
        <v>9</v>
      </c>
      <c r="L14" s="4">
        <v>10</v>
      </c>
      <c r="M14" s="4">
        <v>11</v>
      </c>
      <c r="N14" s="4">
        <v>12</v>
      </c>
      <c r="O14" s="4">
        <v>13</v>
      </c>
      <c r="P14" s="4">
        <v>14</v>
      </c>
      <c r="Q14" s="4">
        <v>15</v>
      </c>
      <c r="R14" s="4">
        <v>16</v>
      </c>
      <c r="S14" s="4">
        <v>17</v>
      </c>
      <c r="T14" s="4">
        <v>18</v>
      </c>
      <c r="U14" s="4">
        <v>19</v>
      </c>
      <c r="V14" s="4">
        <v>20</v>
      </c>
      <c r="W14" s="4">
        <v>21</v>
      </c>
      <c r="X14" s="4">
        <v>22</v>
      </c>
      <c r="Y14" s="4">
        <v>23</v>
      </c>
      <c r="Z14" s="4">
        <v>24</v>
      </c>
      <c r="AA14" s="4">
        <v>25</v>
      </c>
      <c r="AB14" s="4">
        <v>26</v>
      </c>
    </row>
  </sheetData>
  <mergeCells count="1">
    <mergeCell ref="D1:E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</vt:i4>
      </vt:variant>
    </vt:vector>
  </HeadingPairs>
  <TitlesOfParts>
    <vt:vector size="11" baseType="lpstr">
      <vt:lpstr>key_mode</vt:lpstr>
      <vt:lpstr>default_data</vt:lpstr>
      <vt:lpstr>Equipment</vt:lpstr>
      <vt:lpstr>Shell</vt:lpstr>
      <vt:lpstr>NozzleFlange</vt:lpstr>
      <vt:lpstr>VesselFlange</vt:lpstr>
      <vt:lpstr>Pipe</vt:lpstr>
      <vt:lpstr>Support</vt:lpstr>
      <vt:lpstr>ManWay</vt:lpstr>
      <vt:lpstr>LiftingLug</vt:lpstr>
      <vt:lpstr>ManWay!Print_Area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2025-02-14T09:45:22Z</dcterms:modified>
</cp:coreProperties>
</file>